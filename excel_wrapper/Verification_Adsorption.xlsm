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irko\OneDrive\Dokumente\Git_Projects\sorpproplib_JSON\excel_wrapper\"/>
    </mc:Choice>
  </mc:AlternateContent>
  <xr:revisionPtr revIDLastSave="0" documentId="11_E9F81DBF9F2462D9452090C7329C4EB22A52C1B1" xr6:coauthVersionLast="45" xr6:coauthVersionMax="45" xr10:uidLastSave="{00000000-0000-0000-0000-000000000000}"/>
  <bookViews>
    <workbookView xWindow="-98" yWindow="-98" windowWidth="22695" windowHeight="14595" tabRatio="807" firstSheet="4" activeTab="8" xr2:uid="{00000000-000D-0000-FFFF-FFFF00000000}"/>
  </bookViews>
  <sheets>
    <sheet name="Functionality" sheetId="1" r:id="rId1"/>
    <sheet name="DSS | MOF &amp; Propane" sheetId="4" r:id="rId2"/>
    <sheet name="DSS | MOF &amp; Isobutane" sheetId="8" r:id="rId3"/>
    <sheet name="DSS | MOF &amp; Propylene" sheetId="9" r:id="rId4"/>
    <sheet name="Langmuir | Carb RB1 &amp; CO2" sheetId="2" r:id="rId5"/>
    <sheet name="Langmuir | Carb RB1 &amp; CH4" sheetId="7" r:id="rId6"/>
    <sheet name="Toth | Zeolite 5A &amp; CO2" sheetId="6" r:id="rId7"/>
    <sheet name="Toth | Zeolite 13X &amp; CO2" sheetId="10" r:id="rId8"/>
    <sheet name="Dubinin | Carb MSIII &amp; R134-a" sheetId="5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U18" i="6" l="1"/>
  <c r="AU17" i="6"/>
  <c r="AU16" i="6"/>
  <c r="AU15" i="6"/>
  <c r="AU14" i="6"/>
  <c r="AU13" i="6"/>
  <c r="AU12" i="6"/>
  <c r="AU11" i="6"/>
  <c r="AU10" i="6"/>
  <c r="AU9" i="6"/>
  <c r="AU8" i="6"/>
  <c r="AU7" i="6"/>
  <c r="AU6" i="6"/>
  <c r="AU5" i="6"/>
  <c r="AP19" i="6"/>
  <c r="AP18" i="6"/>
  <c r="AP17" i="6"/>
  <c r="AP16" i="6"/>
  <c r="AP15" i="6"/>
  <c r="AP14" i="6"/>
  <c r="AP13" i="6"/>
  <c r="AP12" i="6"/>
  <c r="AP11" i="6"/>
  <c r="AP10" i="6"/>
  <c r="AP9" i="6"/>
  <c r="AP8" i="6"/>
  <c r="AP7" i="6"/>
  <c r="AP6" i="6"/>
  <c r="AP5" i="6"/>
  <c r="AK20" i="6"/>
  <c r="AK19" i="6"/>
  <c r="AK18" i="6"/>
  <c r="AK17" i="6"/>
  <c r="AK16" i="6"/>
  <c r="AK15" i="6"/>
  <c r="AK14" i="6"/>
  <c r="AK13" i="6"/>
  <c r="AK12" i="6"/>
  <c r="AK11" i="6"/>
  <c r="AK10" i="6"/>
  <c r="AK9" i="6"/>
  <c r="AK8" i="6"/>
  <c r="AK7" i="6"/>
  <c r="AK6" i="6"/>
  <c r="AK5" i="6"/>
  <c r="AF20" i="6"/>
  <c r="AF19" i="6"/>
  <c r="AF18" i="6"/>
  <c r="AF17" i="6"/>
  <c r="AF16" i="6"/>
  <c r="AF15" i="6"/>
  <c r="AF14" i="6"/>
  <c r="AF13" i="6"/>
  <c r="AF12" i="6"/>
  <c r="AF11" i="6"/>
  <c r="AF10" i="6"/>
  <c r="AF9" i="6"/>
  <c r="AF8" i="6"/>
  <c r="AF7" i="6"/>
  <c r="AF6" i="6"/>
  <c r="AF5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V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5" i="6"/>
  <c r="Q5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G15" i="6"/>
  <c r="G14" i="6"/>
  <c r="G13" i="6"/>
  <c r="G12" i="6"/>
  <c r="G11" i="6"/>
  <c r="G10" i="6"/>
  <c r="G9" i="6"/>
  <c r="G8" i="6"/>
  <c r="G7" i="6"/>
  <c r="G6" i="6"/>
  <c r="G5" i="6"/>
  <c r="B11" i="6"/>
  <c r="B10" i="6"/>
  <c r="B9" i="6"/>
  <c r="B8" i="6"/>
  <c r="B7" i="6"/>
  <c r="B6" i="6"/>
  <c r="B5" i="6"/>
  <c r="Z16" i="1"/>
  <c r="AR5" i="10"/>
  <c r="D7" i="10"/>
  <c r="S15" i="10"/>
  <c r="AW8" i="10"/>
  <c r="S11" i="10"/>
  <c r="N8" i="10"/>
  <c r="X9" i="10"/>
  <c r="S13" i="10"/>
  <c r="I6" i="10"/>
  <c r="AH6" i="10"/>
  <c r="AR10" i="10"/>
  <c r="S6" i="10"/>
  <c r="AC9" i="10"/>
  <c r="S12" i="10"/>
  <c r="AM6" i="10"/>
  <c r="T17" i="1"/>
  <c r="AR6" i="10"/>
  <c r="AM8" i="10"/>
  <c r="T18" i="1"/>
  <c r="AC8" i="10"/>
  <c r="AH10" i="10"/>
  <c r="S17" i="10"/>
  <c r="AC6" i="10"/>
  <c r="AW7" i="10"/>
  <c r="N10" i="10"/>
  <c r="S7" i="10"/>
  <c r="X8" i="10"/>
  <c r="I7" i="10"/>
  <c r="S19" i="10"/>
  <c r="I5" i="10"/>
  <c r="S14" i="10"/>
  <c r="AH8" i="10"/>
  <c r="N21" i="1"/>
  <c r="S8" i="10"/>
  <c r="T16" i="1"/>
  <c r="X10" i="10"/>
  <c r="S21" i="10"/>
  <c r="AM10" i="10"/>
  <c r="I10" i="10"/>
  <c r="AM9" i="10"/>
  <c r="AR8" i="10"/>
  <c r="X12" i="10"/>
  <c r="S10" i="10"/>
  <c r="S22" i="10"/>
  <c r="AC7" i="10"/>
  <c r="AM7" i="10"/>
  <c r="N5" i="10"/>
  <c r="S18" i="10"/>
  <c r="AR9" i="10"/>
  <c r="I9" i="10"/>
  <c r="S9" i="10"/>
  <c r="AC5" i="10"/>
  <c r="S20" i="10"/>
  <c r="S16" i="10"/>
  <c r="AH5" i="10"/>
  <c r="N6" i="10"/>
  <c r="S5" i="10"/>
  <c r="N20" i="1"/>
  <c r="N11" i="10"/>
  <c r="I8" i="10"/>
  <c r="AH9" i="10"/>
  <c r="D5" i="10"/>
  <c r="AW6" i="10"/>
  <c r="X11" i="10"/>
  <c r="AW5" i="10"/>
  <c r="X7" i="10"/>
  <c r="AM5" i="10"/>
  <c r="D6" i="10"/>
  <c r="AR7" i="10"/>
  <c r="X6" i="10"/>
  <c r="N16" i="1"/>
  <c r="X5" i="10"/>
  <c r="AC10" i="10"/>
  <c r="N7" i="10"/>
  <c r="N9" i="10"/>
  <c r="AH7" i="10"/>
  <c r="B25" i="1"/>
  <c r="N17" i="7"/>
  <c r="I8" i="9"/>
  <c r="D10" i="8"/>
  <c r="I18" i="7"/>
  <c r="S15" i="7"/>
  <c r="N8" i="2"/>
  <c r="N12" i="2"/>
  <c r="S10" i="2"/>
  <c r="S11" i="4"/>
  <c r="S11" i="6"/>
  <c r="AH14" i="6"/>
  <c r="S7" i="6"/>
  <c r="S14" i="8"/>
  <c r="I12" i="7"/>
  <c r="N9" i="9"/>
  <c r="I9" i="8"/>
  <c r="N14" i="8"/>
  <c r="AC9" i="6"/>
  <c r="N14" i="4"/>
  <c r="I6" i="6"/>
  <c r="N17" i="4"/>
  <c r="D11" i="6"/>
  <c r="S20" i="6"/>
  <c r="N9" i="2"/>
  <c r="N14" i="2"/>
  <c r="S16" i="8"/>
  <c r="D11" i="8"/>
  <c r="N11" i="9"/>
  <c r="I11" i="8"/>
  <c r="I16" i="7"/>
  <c r="I12" i="6"/>
  <c r="S5" i="2"/>
  <c r="AC13" i="6"/>
  <c r="AR15" i="6"/>
  <c r="S14" i="4"/>
  <c r="AC18" i="6"/>
  <c r="N13" i="2"/>
  <c r="I13" i="8"/>
  <c r="S6" i="2"/>
  <c r="AC7" i="6"/>
  <c r="D8" i="4"/>
  <c r="I10" i="4"/>
  <c r="D12" i="7"/>
  <c r="X10" i="6"/>
  <c r="N12" i="4"/>
  <c r="S12" i="4"/>
  <c r="I5" i="6"/>
  <c r="D11" i="4"/>
  <c r="N7" i="7"/>
  <c r="I14" i="2"/>
  <c r="AW14" i="6"/>
  <c r="AH11" i="6"/>
  <c r="S11" i="9"/>
  <c r="I16" i="2"/>
  <c r="I12" i="2"/>
  <c r="I7" i="7"/>
  <c r="AC8" i="6"/>
  <c r="I13" i="4"/>
  <c r="S27" i="6"/>
  <c r="N15" i="8"/>
  <c r="H16" i="1"/>
  <c r="H17" i="1" s="1"/>
  <c r="H18" i="1"/>
  <c r="I9" i="9"/>
  <c r="D5" i="8"/>
  <c r="I10" i="7"/>
  <c r="N17" i="8"/>
  <c r="S12" i="7"/>
  <c r="I7" i="2"/>
  <c r="S15" i="4"/>
  <c r="I5" i="4"/>
  <c r="D6" i="2"/>
  <c r="S30" i="6"/>
  <c r="S13" i="4"/>
  <c r="H20" i="1"/>
  <c r="S13" i="7"/>
  <c r="N17" i="9"/>
  <c r="D17" i="8"/>
  <c r="S11" i="7"/>
  <c r="AW5" i="6"/>
  <c r="AH6" i="6"/>
  <c r="N11" i="6"/>
  <c r="I17" i="4"/>
  <c r="S22" i="6"/>
  <c r="D16" i="4"/>
  <c r="X14" i="6"/>
  <c r="AC15" i="6"/>
  <c r="D17" i="2"/>
  <c r="D16" i="7"/>
  <c r="N6" i="9"/>
  <c r="S14" i="7"/>
  <c r="D6" i="7"/>
  <c r="N13" i="8"/>
  <c r="S12" i="6"/>
  <c r="S8" i="2"/>
  <c r="AR12" i="6"/>
  <c r="S33" i="6"/>
  <c r="AR11" i="6"/>
  <c r="N14" i="6"/>
  <c r="X6" i="6"/>
  <c r="I12" i="9"/>
  <c r="X19" i="6"/>
  <c r="X12" i="6"/>
  <c r="N16" i="4"/>
  <c r="S10" i="7"/>
  <c r="H21" i="1"/>
  <c r="I8" i="8"/>
  <c r="D10" i="6"/>
  <c r="B20" i="1"/>
  <c r="I7" i="4"/>
  <c r="AM5" i="6"/>
  <c r="N12" i="7"/>
  <c r="I18" i="9"/>
  <c r="S34" i="6"/>
  <c r="I11" i="4"/>
  <c r="S10" i="8"/>
  <c r="N7" i="6"/>
  <c r="H23" i="1"/>
  <c r="H45" i="1"/>
  <c r="N10" i="7"/>
  <c r="N7" i="8"/>
  <c r="N16" i="6"/>
  <c r="I5" i="2"/>
  <c r="D5" i="7"/>
  <c r="I14" i="7"/>
  <c r="N6" i="2"/>
  <c r="N6" i="4"/>
  <c r="I9" i="2"/>
  <c r="AH7" i="6"/>
  <c r="AC19" i="6"/>
  <c r="S6" i="9"/>
  <c r="S13" i="6"/>
  <c r="D14" i="7"/>
  <c r="AC10" i="6"/>
  <c r="AW10" i="6"/>
  <c r="N12" i="9"/>
  <c r="I13" i="7"/>
  <c r="N8" i="9"/>
  <c r="I17" i="2"/>
  <c r="N9" i="6"/>
  <c r="S18" i="7"/>
  <c r="N18" i="9"/>
  <c r="N9" i="8"/>
  <c r="D8" i="7"/>
  <c r="AH20" i="6"/>
  <c r="AH10" i="6"/>
  <c r="S10" i="6"/>
  <c r="N13" i="6"/>
  <c r="AM20" i="6"/>
  <c r="H30" i="1"/>
  <c r="I18" i="4"/>
  <c r="D12" i="2"/>
  <c r="D5" i="2"/>
  <c r="I12" i="4"/>
  <c r="I11" i="9"/>
  <c r="D12" i="8"/>
  <c r="D15" i="7"/>
  <c r="S6" i="7"/>
  <c r="S7" i="2"/>
  <c r="I15" i="6"/>
  <c r="I6" i="2"/>
  <c r="AR7" i="6"/>
  <c r="S9" i="2"/>
  <c r="AR5" i="6"/>
  <c r="AH13" i="6"/>
  <c r="AR19" i="6"/>
  <c r="I19" i="4"/>
  <c r="N12" i="6"/>
  <c r="I13" i="9"/>
  <c r="D14" i="8"/>
  <c r="N14" i="7"/>
  <c r="D10" i="7"/>
  <c r="I16" i="8"/>
  <c r="H25" i="1"/>
  <c r="S6" i="4"/>
  <c r="AM17" i="6"/>
  <c r="S16" i="4"/>
  <c r="N7" i="4"/>
  <c r="AW18" i="6"/>
  <c r="D14" i="2"/>
  <c r="N17" i="6"/>
  <c r="AW11" i="6"/>
  <c r="AR6" i="6"/>
  <c r="S5" i="8"/>
  <c r="AC11" i="6"/>
  <c r="S18" i="6"/>
  <c r="S17" i="7"/>
  <c r="N8" i="4"/>
  <c r="I5" i="9"/>
  <c r="D6" i="6"/>
  <c r="H28" i="1"/>
  <c r="AR9" i="6"/>
  <c r="D16" i="8"/>
  <c r="H29" i="1"/>
  <c r="N6" i="6"/>
  <c r="AW7" i="6"/>
  <c r="S9" i="6"/>
  <c r="S13" i="8"/>
  <c r="I8" i="2"/>
  <c r="H22" i="1"/>
  <c r="I8" i="7"/>
  <c r="N8" i="6"/>
  <c r="S15" i="2"/>
  <c r="S16" i="9"/>
  <c r="I11" i="6"/>
  <c r="S8" i="4"/>
  <c r="N10" i="9"/>
  <c r="D15" i="8"/>
  <c r="N11" i="7"/>
  <c r="S10" i="9"/>
  <c r="I7" i="6"/>
  <c r="I6" i="4"/>
  <c r="S23" i="6"/>
  <c r="D18" i="2"/>
  <c r="AR10" i="6"/>
  <c r="N13" i="7"/>
  <c r="S24" i="6"/>
  <c r="D5" i="4"/>
  <c r="D11" i="7"/>
  <c r="N10" i="4"/>
  <c r="S18" i="2"/>
  <c r="D8" i="8"/>
  <c r="AM11" i="6"/>
  <c r="I9" i="4"/>
  <c r="AC12" i="6"/>
  <c r="D18" i="4"/>
  <c r="N5" i="4"/>
  <c r="D17" i="4"/>
  <c r="N11" i="8"/>
  <c r="I17" i="9"/>
  <c r="S7" i="8"/>
  <c r="D7" i="6"/>
  <c r="AW12" i="6"/>
  <c r="AH16" i="6"/>
  <c r="N8" i="7"/>
  <c r="I15" i="2"/>
  <c r="N19" i="6"/>
  <c r="AH18" i="6"/>
  <c r="N5" i="9"/>
  <c r="H48" i="1"/>
  <c r="N15" i="9"/>
  <c r="I15" i="8"/>
  <c r="N5" i="7"/>
  <c r="S15" i="9"/>
  <c r="I8" i="4"/>
  <c r="AM13" i="6"/>
  <c r="D8" i="6"/>
  <c r="S17" i="6"/>
  <c r="S28" i="6"/>
  <c r="AH8" i="6"/>
  <c r="S5" i="9"/>
  <c r="N15" i="7"/>
  <c r="I6" i="7"/>
  <c r="S6" i="8"/>
  <c r="S8" i="7"/>
  <c r="D15" i="2"/>
  <c r="X5" i="6"/>
  <c r="S9" i="4"/>
  <c r="D10" i="4"/>
  <c r="N11" i="2"/>
  <c r="I11" i="2"/>
  <c r="I10" i="6"/>
  <c r="N18" i="6"/>
  <c r="D9" i="8"/>
  <c r="N9" i="7"/>
  <c r="S8" i="8"/>
  <c r="I5" i="7"/>
  <c r="I15" i="9"/>
  <c r="N5" i="6"/>
  <c r="AC17" i="6"/>
  <c r="AM14" i="6"/>
  <c r="AM16" i="6"/>
  <c r="D7" i="4"/>
  <c r="N15" i="4"/>
  <c r="S31" i="6"/>
  <c r="D6" i="4"/>
  <c r="AM10" i="6"/>
  <c r="I7" i="8"/>
  <c r="N16" i="7"/>
  <c r="S7" i="4"/>
  <c r="X11" i="6"/>
  <c r="B16" i="1"/>
  <c r="B23" i="1" s="1"/>
  <c r="AM18" i="6"/>
  <c r="N17" i="2"/>
  <c r="AH19" i="6"/>
  <c r="AC5" i="6"/>
  <c r="S29" i="6"/>
  <c r="I10" i="2"/>
  <c r="S18" i="9"/>
  <c r="I7" i="9"/>
  <c r="N18" i="2"/>
  <c r="S16" i="6"/>
  <c r="N5" i="2"/>
  <c r="I10" i="9"/>
  <c r="D13" i="7"/>
  <c r="AH9" i="6"/>
  <c r="B21" i="1"/>
  <c r="D8" i="2"/>
  <c r="H40" i="1"/>
  <c r="AC20" i="6"/>
  <c r="S11" i="8"/>
  <c r="N15" i="2"/>
  <c r="S9" i="7"/>
  <c r="N7" i="2"/>
  <c r="S5" i="4"/>
  <c r="D13" i="8"/>
  <c r="I6" i="8"/>
  <c r="I15" i="4"/>
  <c r="AW9" i="6"/>
  <c r="D7" i="2"/>
  <c r="AR8" i="6"/>
  <c r="D12" i="4"/>
  <c r="D10" i="2"/>
  <c r="I6" i="9"/>
  <c r="AH12" i="6"/>
  <c r="N16" i="8"/>
  <c r="AM7" i="6"/>
  <c r="AR14" i="6"/>
  <c r="D17" i="7"/>
  <c r="D13" i="2"/>
  <c r="X17" i="6"/>
  <c r="S7" i="7"/>
  <c r="AM19" i="6"/>
  <c r="AM8" i="6"/>
  <c r="D14" i="4"/>
  <c r="S15" i="8"/>
  <c r="S14" i="2"/>
  <c r="I14" i="9"/>
  <c r="N10" i="2"/>
  <c r="I13" i="2"/>
  <c r="N14" i="9"/>
  <c r="S8" i="6"/>
  <c r="S6" i="6"/>
  <c r="AR18" i="6"/>
  <c r="AC16" i="6"/>
  <c r="AW8" i="6"/>
  <c r="AH5" i="6"/>
  <c r="AM6" i="6"/>
  <c r="H43" i="1"/>
  <c r="I5" i="8"/>
  <c r="D7" i="8"/>
  <c r="N10" i="8"/>
  <c r="N18" i="7"/>
  <c r="N6" i="7"/>
  <c r="X13" i="6"/>
  <c r="AM9" i="6"/>
  <c r="D9" i="4"/>
  <c r="S17" i="2"/>
  <c r="AW15" i="6"/>
  <c r="X20" i="6"/>
  <c r="X18" i="6"/>
  <c r="H31" i="1"/>
  <c r="I14" i="6"/>
  <c r="S17" i="9"/>
  <c r="N8" i="8"/>
  <c r="S9" i="9"/>
  <c r="S17" i="8"/>
  <c r="I10" i="8"/>
  <c r="AR16" i="6"/>
  <c r="N10" i="6"/>
  <c r="S16" i="2"/>
  <c r="D13" i="4"/>
  <c r="N11" i="4"/>
  <c r="AW13" i="6"/>
  <c r="AR13" i="6"/>
  <c r="N6" i="8"/>
  <c r="S16" i="7"/>
  <c r="I16" i="9"/>
  <c r="D6" i="8"/>
  <c r="I14" i="8"/>
  <c r="AW6" i="6"/>
  <c r="AM15" i="6"/>
  <c r="AC6" i="6"/>
  <c r="AH17" i="6"/>
  <c r="S26" i="6"/>
  <c r="D19" i="4"/>
  <c r="I17" i="7"/>
  <c r="AW16" i="6"/>
  <c r="AC14" i="6"/>
  <c r="I9" i="6"/>
  <c r="S17" i="4"/>
  <c r="X9" i="6"/>
  <c r="AR17" i="6"/>
  <c r="S8" i="9"/>
  <c r="I18" i="2"/>
  <c r="N9" i="4"/>
  <c r="N13" i="4"/>
  <c r="D7" i="7"/>
  <c r="S15" i="6"/>
  <c r="S13" i="9"/>
  <c r="S14" i="6"/>
  <c r="S12" i="2"/>
  <c r="B22" i="1"/>
  <c r="I13" i="6"/>
  <c r="B18" i="1"/>
  <c r="H44" i="1"/>
  <c r="I9" i="7"/>
  <c r="S12" i="8"/>
  <c r="I15" i="7"/>
  <c r="N7" i="9"/>
  <c r="N12" i="8"/>
  <c r="S25" i="6"/>
  <c r="S13" i="2"/>
  <c r="D5" i="6"/>
  <c r="AW17" i="6"/>
  <c r="S19" i="6"/>
  <c r="X15" i="6"/>
  <c r="AH15" i="6"/>
  <c r="D16" i="2"/>
  <c r="I12" i="8"/>
  <c r="D9" i="7"/>
  <c r="S12" i="9"/>
  <c r="S9" i="8"/>
  <c r="D18" i="7"/>
  <c r="D9" i="6"/>
  <c r="D11" i="2"/>
  <c r="S32" i="6"/>
  <c r="X7" i="6"/>
  <c r="I8" i="6"/>
  <c r="X8" i="6"/>
  <c r="AM12" i="6"/>
  <c r="I11" i="7"/>
  <c r="S14" i="9"/>
  <c r="N5" i="8"/>
  <c r="N19" i="9"/>
  <c r="S5" i="6"/>
  <c r="N13" i="9"/>
  <c r="D9" i="2"/>
  <c r="D15" i="4"/>
  <c r="H46" i="1"/>
  <c r="S5" i="7"/>
  <c r="S10" i="4"/>
  <c r="I16" i="4"/>
  <c r="S7" i="9"/>
  <c r="S11" i="2"/>
  <c r="N16" i="2"/>
  <c r="N16" i="9"/>
  <c r="I14" i="4"/>
  <c r="X16" i="6"/>
  <c r="S21" i="6"/>
  <c r="N15" i="6"/>
  <c r="N22" i="1"/>
  <c r="N23" i="1"/>
  <c r="N18" i="1"/>
  <c r="N17" i="1"/>
  <c r="H39" i="1"/>
  <c r="H41" i="1"/>
  <c r="AC10" i="5"/>
  <c r="S5" i="5"/>
  <c r="AM14" i="5"/>
  <c r="X9" i="5"/>
  <c r="AC13" i="5"/>
  <c r="X14" i="5"/>
  <c r="AW8" i="5"/>
  <c r="AC5" i="5"/>
  <c r="S11" i="5"/>
  <c r="D8" i="5"/>
  <c r="AH9" i="5"/>
  <c r="S9" i="5"/>
  <c r="AW9" i="5"/>
  <c r="N11" i="5"/>
  <c r="AR15" i="5"/>
  <c r="AH6" i="5"/>
  <c r="S6" i="5"/>
  <c r="D6" i="5"/>
  <c r="AH12" i="5"/>
  <c r="AR8" i="5"/>
  <c r="S14" i="5"/>
  <c r="I9" i="5"/>
  <c r="N8" i="5"/>
  <c r="AR6" i="5"/>
  <c r="AM11" i="5"/>
  <c r="AC15" i="5"/>
  <c r="N6" i="5"/>
  <c r="I5" i="5"/>
  <c r="AR11" i="5"/>
  <c r="AR5" i="5"/>
  <c r="AC14" i="5"/>
  <c r="AH14" i="5"/>
  <c r="AM15" i="5"/>
  <c r="D7" i="5"/>
  <c r="AH11" i="5"/>
  <c r="AR12" i="5"/>
  <c r="AM9" i="5"/>
  <c r="X7" i="5"/>
  <c r="AH5" i="5"/>
  <c r="AC12" i="5"/>
  <c r="D5" i="5"/>
  <c r="AM7" i="5"/>
  <c r="AC9" i="5"/>
  <c r="S10" i="5"/>
  <c r="AW15" i="5"/>
  <c r="X13" i="5"/>
  <c r="X12" i="5"/>
  <c r="AW7" i="5"/>
  <c r="N13" i="5"/>
  <c r="N9" i="5"/>
  <c r="I7" i="5"/>
  <c r="AM5" i="5"/>
  <c r="S7" i="5"/>
  <c r="AW6" i="5"/>
  <c r="AH15" i="5"/>
  <c r="N5" i="5"/>
  <c r="X15" i="5"/>
  <c r="S15" i="5"/>
  <c r="I6" i="5"/>
  <c r="D10" i="5"/>
  <c r="AW12" i="5"/>
  <c r="AM6" i="5"/>
  <c r="AW14" i="5"/>
  <c r="AH10" i="5"/>
  <c r="AC6" i="5"/>
  <c r="AW13" i="5"/>
  <c r="S8" i="5"/>
  <c r="AW11" i="5"/>
  <c r="AC7" i="5"/>
  <c r="AM12" i="5"/>
  <c r="N10" i="5"/>
  <c r="N14" i="5"/>
  <c r="X8" i="5"/>
  <c r="AR13" i="5"/>
  <c r="AH8" i="5"/>
  <c r="AR10" i="5"/>
  <c r="AR9" i="5"/>
  <c r="N12" i="5"/>
  <c r="AC11" i="5"/>
  <c r="AR14" i="5"/>
  <c r="AW10" i="5"/>
  <c r="AW5" i="5"/>
  <c r="S12" i="5"/>
  <c r="D9" i="5"/>
  <c r="I8" i="5"/>
  <c r="AR7" i="5"/>
  <c r="AM13" i="5"/>
  <c r="AM10" i="5"/>
  <c r="N7" i="5"/>
  <c r="X6" i="5"/>
  <c r="AC8" i="5"/>
  <c r="AH7" i="5"/>
  <c r="AH13" i="5"/>
  <c r="AM8" i="5"/>
  <c r="S13" i="5"/>
  <c r="X5" i="5"/>
  <c r="X10" i="5"/>
  <c r="X11" i="5"/>
  <c r="H33" i="1" l="1"/>
  <c r="B17" i="1"/>
  <c r="H36" i="1"/>
  <c r="H34" i="1"/>
  <c r="H35" i="1"/>
  <c r="H37" i="1"/>
</calcChain>
</file>

<file path=xl/sharedStrings.xml><?xml version="1.0" encoding="utf-8"?>
<sst xmlns="http://schemas.openxmlformats.org/spreadsheetml/2006/main" count="824" uniqueCount="154">
  <si>
    <t xml:space="preserve"> Exp | T = 294.5 K</t>
  </si>
  <si>
    <t xml:space="preserve"> Exp | T = 303.1 K</t>
  </si>
  <si>
    <t xml:space="preserve"> Exp | T = 329.9 K</t>
  </si>
  <si>
    <t xml:space="preserve"> Exp | T = 348.3 K</t>
  </si>
  <si>
    <t>p</t>
  </si>
  <si>
    <t>T</t>
  </si>
  <si>
    <t>w</t>
  </si>
  <si>
    <t>in Pa</t>
  </si>
  <si>
    <t>in K</t>
  </si>
  <si>
    <t>in kg/kg</t>
  </si>
  <si>
    <t>Sorbent:</t>
  </si>
  <si>
    <t>carbon</t>
  </si>
  <si>
    <t>Subtype:</t>
  </si>
  <si>
    <t>norit-rb1</t>
  </si>
  <si>
    <t>Refrigerant:</t>
  </si>
  <si>
    <t>co2</t>
  </si>
  <si>
    <t>Isotherm equation:</t>
  </si>
  <si>
    <t>langmuir</t>
  </si>
  <si>
    <t>Saturated pressure equation:</t>
  </si>
  <si>
    <t>EoS_vapourPressure</t>
  </si>
  <si>
    <t>Saturated liquid density equation:</t>
  </si>
  <si>
    <t>EoS_saturatedLiquidDensity</t>
  </si>
  <si>
    <t>Fit  | T = 303.1 K</t>
  </si>
  <si>
    <t>Fit  | T = 294.5 K</t>
  </si>
  <si>
    <t>ID of isotherm equation:</t>
  </si>
  <si>
    <t>ID of saturated pressure equation:</t>
  </si>
  <si>
    <t>ID of saturated liquid density eqaution:</t>
  </si>
  <si>
    <t>Definition of the working pair for the SorpPropLib</t>
  </si>
  <si>
    <t>Fit  | T = 348.3 K</t>
  </si>
  <si>
    <t>Measured equlibrium propertiers of working pair "Carbon Norit-rb1 / CO2".
Daten taken from: Rick van der Vaar et al. Single and Mixed Gas Adsorption Equilibria of Carbon Dioxide/Methane on Activated Carbon. Adsorption 2000. 6: p. 311-323.</t>
  </si>
  <si>
    <t>zeolite</t>
  </si>
  <si>
    <t>5a</t>
  </si>
  <si>
    <t>toth</t>
  </si>
  <si>
    <t xml:space="preserve"> Exp | T = 228.15 K</t>
  </si>
  <si>
    <t>Fit  | T = 228.15 K</t>
  </si>
  <si>
    <r>
      <t xml:space="preserve">Measured equlibrium propertiers of working pair "MOF Cubtc / Propane".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</si>
  <si>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mof</t>
  </si>
  <si>
    <t>cubtc</t>
  </si>
  <si>
    <t>propane</t>
  </si>
  <si>
    <t>dss</t>
  </si>
  <si>
    <t xml:space="preserve"> Exp | T = 323 K</t>
  </si>
  <si>
    <t>Fit  | T = 323 K</t>
  </si>
  <si>
    <t xml:space="preserve"> Exp | T = 348 K</t>
  </si>
  <si>
    <t>Fit  | T = 348 K</t>
  </si>
  <si>
    <t xml:space="preserve"> Exp | T = 373 K</t>
  </si>
  <si>
    <t xml:space="preserve"> Exp | T = 423 K</t>
  </si>
  <si>
    <t>Fit  | T = 423 K</t>
  </si>
  <si>
    <t>Fit  | T = 329.9 K</t>
  </si>
  <si>
    <t>r-134a</t>
  </si>
  <si>
    <t>maxsorb-iii</t>
  </si>
  <si>
    <t>dubinin-astakov</t>
  </si>
  <si>
    <t xml:space="preserve"> Exp | T = 278 K</t>
  </si>
  <si>
    <t>Fit  | T = 278 K</t>
  </si>
  <si>
    <t xml:space="preserve"> Exp | T = 288 K</t>
  </si>
  <si>
    <t>Fit  | T = 288 K</t>
  </si>
  <si>
    <t xml:space="preserve"> Exp | T = 293 K</t>
  </si>
  <si>
    <t>Fit  | T = 293 K</t>
  </si>
  <si>
    <t>Fit  | T = 373 K</t>
  </si>
  <si>
    <t xml:space="preserve"> Exp | T = 298 K</t>
  </si>
  <si>
    <t>Fit  | T = 298 K</t>
  </si>
  <si>
    <t xml:space="preserve"> Exp | T = 308 K</t>
  </si>
  <si>
    <t>Fit  | T = 308 K</t>
  </si>
  <si>
    <t xml:space="preserve"> Exp | T = 318 K</t>
  </si>
  <si>
    <t>Fit  | T = 318 K</t>
  </si>
  <si>
    <t xml:space="preserve"> Exp | T = 328 K</t>
  </si>
  <si>
    <t>Fit  | T = 328 K</t>
  </si>
  <si>
    <t xml:space="preserve"> Exp | T = 338 K</t>
  </si>
  <si>
    <t>Fit  | T = 338 K</t>
  </si>
  <si>
    <t xml:space="preserve"> Exp | T = 358 K</t>
  </si>
  <si>
    <t>Fit  | T = 358 K</t>
  </si>
  <si>
    <t xml:space="preserve"> Exp | T = 248.15 K</t>
  </si>
  <si>
    <t>Fit  | T = 248.15 K</t>
  </si>
  <si>
    <t xml:space="preserve"> Exp | T = 273.15 K</t>
  </si>
  <si>
    <t>Fit  | T =  273.15 K</t>
  </si>
  <si>
    <t xml:space="preserve"> Exp | T = 298.15 K</t>
  </si>
  <si>
    <t>Fit  | T = 298.15 K</t>
  </si>
  <si>
    <t xml:space="preserve"> Exp | T = 323.15 K</t>
  </si>
  <si>
    <t>Fit  | T = 323.15 K</t>
  </si>
  <si>
    <t xml:space="preserve"> Exp | T = 348.15 K</t>
  </si>
  <si>
    <t>Fit  | T = 348.15 K</t>
  </si>
  <si>
    <t xml:space="preserve"> Exp | T = 373.15 K</t>
  </si>
  <si>
    <t>Fit  | T = 373.15 K</t>
  </si>
  <si>
    <t xml:space="preserve"> Exp | T = 398.15 K</t>
  </si>
  <si>
    <t>Fit  | T = 368.15 K</t>
  </si>
  <si>
    <t xml:space="preserve"> Exp | T = 423.15 K</t>
  </si>
  <si>
    <t>Fit  | T = 423.15 K</t>
  </si>
  <si>
    <t xml:space="preserve"> Exp | T = 448.15 K</t>
  </si>
  <si>
    <t>Fit  | T = 448.15 K</t>
  </si>
  <si>
    <t>Property calculation for selected working pair</t>
  </si>
  <si>
    <t>Definition of pressure p in Pa:</t>
  </si>
  <si>
    <t>Some random independent 
input parameters</t>
  </si>
  <si>
    <t>Definition of temperature T in K:</t>
  </si>
  <si>
    <t>Calculate loading in kg/kg:</t>
  </si>
  <si>
    <t>Inputs: Pressure and temperature</t>
  </si>
  <si>
    <t>Calculate pressure in Pa:</t>
  </si>
  <si>
    <t>Inputs: Loading and temperature</t>
  </si>
  <si>
    <t>Calculate temperature in K:</t>
  </si>
  <si>
    <t>Inputs: Pressure and loading</t>
  </si>
  <si>
    <t>Calculate derivative of loading wrt pressure in kg/kg/Pa:</t>
  </si>
  <si>
    <t>Calculate derivative of loading wrt temperature in kg/kg/K:</t>
  </si>
  <si>
    <t>Calculate derivative of pressure wrt loading in Pakg/kg:</t>
  </si>
  <si>
    <t>Calculate derivative of pressure wrt temperature in Pa/K:</t>
  </si>
  <si>
    <t xml:space="preserve"> (A) Definition of a working pair to show functionality of classic adsorption isotherms (e.g. Langmuir or Toth)</t>
  </si>
  <si>
    <t>Calculate reduced spreading pressure in mol/kg:</t>
  </si>
  <si>
    <t>Inputs: Total pressure, molar gas fraction, molar adsorbed fraction, activity coefficient, temperature, and molar mass</t>
  </si>
  <si>
    <t xml:space="preserve"> (B) Definition of a working pair to show functionality of Dubinin adsorption isotherms (e.g. Dubinin-Astakhov)</t>
  </si>
  <si>
    <t>Property calculation for selected working pair when using refrigerant properties calculated by user</t>
  </si>
  <si>
    <t>Calculate saturated liquid density in kg/m³:</t>
  </si>
  <si>
    <t>Calculate saturation pressure in Pa:</t>
  </si>
  <si>
    <t>Inputs: Temperature</t>
  </si>
  <si>
    <t>Calculate derivative of saturation pressure wrt temperature in Pa/K:</t>
  </si>
  <si>
    <t>Calculate derivative of saturated liquid density wrt temperature in kg/m³/K:</t>
  </si>
  <si>
    <t>Calculate adsorption potential in J/mol:</t>
  </si>
  <si>
    <t>Calculate volumetric loading m³/kg:</t>
  </si>
  <si>
    <t>Inputs: Pressure, temperature, and saturation pressure</t>
  </si>
  <si>
    <t>Calculate derivative of volumetric loading wrt adsorption potential in m³mol/kg/J:</t>
  </si>
  <si>
    <t>Inputs: Adsorption potential, saturated liquid density</t>
  </si>
  <si>
    <t>Inputs: Volumetric loading, saturated liquid density</t>
  </si>
  <si>
    <t>Calculate derivative of adsorption potential wrt volumetric loading in Jkg/m³/mol:</t>
  </si>
  <si>
    <r>
      <t xml:space="preserve">Measured equlibrium propertiers of working pair "Carbon Maxsorb-III / R134a".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</si>
  <si>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Measured equlibrium propertiers of working pair "Carbon Norit-rb1 / CH4".
Daten taken from: Rick van der Vaar et al. Single and Mixed Gas Adsorption Equilibria of Carbon Dioxide/Methane on Activated Carbon. Adsorption 2000. 6: p. 311-323.</t>
  </si>
  <si>
    <t>methane</t>
  </si>
  <si>
    <t>isobutane</t>
  </si>
  <si>
    <r>
      <t xml:space="preserve">Measured equlibrium propertiers of working pair "MOF Cubtc / Isobutane".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</si>
  <si>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propylene</t>
  </si>
  <si>
    <r>
      <t xml:space="preserve">Measured equlibrium propertiers of working pair "MOF Cubtc / Propylene".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</si>
  <si>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r>
      <t xml:space="preserve">Measured equlibrium propertiers of working pair "Zeolite 5A / CO2".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</si>
  <si>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Inputs: Pressure, temperature, saturation pressure, and saturated liquid density</t>
  </si>
  <si>
    <t>Inputs: Loading, temperature, saturation pressure, and saturated liquid density</t>
  </si>
  <si>
    <t>Inputs: Pressure, loading, saturation pressure, and saturated liquid density</t>
  </si>
  <si>
    <r>
      <t xml:space="preserve">Measured equlibrium propertiers of working pair "Zeolite 13X / CO2".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</si>
  <si>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13x</t>
  </si>
  <si>
    <t>Calculate concentration in kg/kg:</t>
  </si>
  <si>
    <t>Inputs: Concentration and temperature</t>
  </si>
  <si>
    <t>Inputs: Pressure and concentration</t>
  </si>
  <si>
    <t>Calculate derivative of concentration wrt pressure in kg/kg/Pa:</t>
  </si>
  <si>
    <t>Calculate derivative of concentration wrt temperature in kg/kg/K:</t>
  </si>
  <si>
    <t>Calculate derivative of pressure wrt concentration in Pakg/kg:</t>
  </si>
  <si>
    <t xml:space="preserve"> (C) Definition of a working pair to show functionality of classic absorption isotherms (e.g. Dühring)</t>
  </si>
  <si>
    <t>naoh-koh-csoh</t>
  </si>
  <si>
    <t>water</t>
  </si>
  <si>
    <t>duhring</t>
  </si>
  <si>
    <t xml:space="preserve"> (D) Definition of a working pair to show functionality of activity-based absorption isotherms (e.g. NRTL)</t>
  </si>
  <si>
    <t>Calculate activity coefficient:</t>
  </si>
  <si>
    <t>il</t>
  </si>
  <si>
    <t>[bmim][(cf3so2)2n]</t>
  </si>
  <si>
    <t>nrtl-fixeddg</t>
  </si>
  <si>
    <t>Calculate equilibrium pressure in Pa:</t>
  </si>
  <si>
    <t>Inputs: Temperature, liquid mole fraction, molar volume of component 1, and molar volume of component 2</t>
  </si>
  <si>
    <t>Inputs: Temperature, liquid mole fraction, molar volume of component 1,  molar volume of component 2, and saturation pressure of component 1</t>
  </si>
  <si>
    <t>Liquid molar fraction of component 1 in mol/mol:</t>
  </si>
  <si>
    <t xml:space="preserve"> (E) Definition of a working pair to show functionality of EoS-based absorption isotherms (e.g. 1PVDW)</t>
  </si>
  <si>
    <t>[c10mim][ntf2]</t>
  </si>
  <si>
    <t>mixingrule-1pvdw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</si>
</sst>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0" borderId="0" xfId="0" applyBorder="1"/>
    <xf numFmtId="0" fontId="0" fillId="0" borderId="7" xfId="0" applyBorder="1"/>
    <xf numFmtId="0" fontId="0" fillId="0" borderId="4" xfId="0" applyBorder="1"/>
    <xf numFmtId="164" fontId="0" fillId="0" borderId="0" xfId="0" applyNumberFormat="1" applyBorder="1"/>
    <xf numFmtId="0" fontId="0" fillId="0" borderId="6" xfId="0" applyBorder="1"/>
    <xf numFmtId="164" fontId="0" fillId="0" borderId="7" xfId="0" applyNumberFormat="1" applyBorder="1"/>
    <xf numFmtId="0" fontId="1" fillId="0" borderId="12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164" fontId="0" fillId="0" borderId="13" xfId="0" applyNumberFormat="1" applyBorder="1"/>
    <xf numFmtId="164" fontId="0" fillId="0" borderId="14" xfId="0" applyNumberFormat="1" applyBorder="1"/>
    <xf numFmtId="0" fontId="0" fillId="0" borderId="1" xfId="0" applyBorder="1"/>
    <xf numFmtId="164" fontId="0" fillId="0" borderId="2" xfId="0" applyNumberFormat="1" applyBorder="1"/>
    <xf numFmtId="164" fontId="0" fillId="0" borderId="12" xfId="0" applyNumberFormat="1" applyBorder="1"/>
    <xf numFmtId="0" fontId="0" fillId="0" borderId="0" xfId="0" applyFill="1" applyBorder="1"/>
    <xf numFmtId="0" fontId="1" fillId="0" borderId="1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Fill="1" applyBorder="1"/>
    <xf numFmtId="164" fontId="0" fillId="0" borderId="0" xfId="0" applyNumberFormat="1"/>
    <xf numFmtId="0" fontId="3" fillId="2" borderId="4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3" fillId="4" borderId="4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5" fillId="3" borderId="4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0" fillId="0" borderId="0" xfId="0" applyBorder="1" applyAlignment="1"/>
    <xf numFmtId="0" fontId="3" fillId="2" borderId="1" xfId="0" applyFon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3" fillId="4" borderId="1" xfId="0" applyFon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3" fillId="5" borderId="4" xfId="0" applyFont="1" applyFill="1" applyBorder="1" applyAlignment="1">
      <alignment horizontal="left"/>
    </xf>
    <xf numFmtId="0" fontId="3" fillId="5" borderId="6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5" borderId="9" xfId="0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3" fillId="5" borderId="1" xfId="0" applyFont="1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3" fillId="6" borderId="4" xfId="0" applyFont="1" applyFill="1" applyBorder="1" applyAlignment="1">
      <alignment horizontal="left"/>
    </xf>
    <xf numFmtId="0" fontId="0" fillId="6" borderId="0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10" xfId="0" applyFill="1" applyBorder="1" applyAlignment="1">
      <alignment horizontal="left"/>
    </xf>
    <xf numFmtId="0" fontId="3" fillId="6" borderId="9" xfId="0" applyFont="1" applyFill="1" applyBorder="1" applyAlignment="1">
      <alignment horizontal="left"/>
    </xf>
    <xf numFmtId="0" fontId="3" fillId="6" borderId="6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0" fillId="6" borderId="0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49" fontId="0" fillId="6" borderId="0" xfId="0" quotePrefix="1" applyNumberFormat="1" applyFill="1" applyBorder="1" applyAlignment="1">
      <alignment horizontal="left"/>
    </xf>
    <xf numFmtId="49" fontId="0" fillId="6" borderId="0" xfId="0" applyNumberFormat="1" applyFill="1" applyBorder="1" applyAlignment="1">
      <alignment horizontal="left"/>
    </xf>
    <xf numFmtId="49" fontId="0" fillId="6" borderId="5" xfId="0" applyNumberFormat="1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1" fillId="6" borderId="9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 wrapText="1"/>
    </xf>
    <xf numFmtId="0" fontId="0" fillId="6" borderId="0" xfId="0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/>
    </xf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0" fontId="1" fillId="5" borderId="9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 wrapText="1"/>
    </xf>
    <xf numFmtId="0" fontId="0" fillId="5" borderId="0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49" fontId="0" fillId="5" borderId="0" xfId="0" quotePrefix="1" applyNumberFormat="1" applyFill="1" applyBorder="1" applyAlignment="1">
      <alignment horizontal="left"/>
    </xf>
    <xf numFmtId="49" fontId="0" fillId="5" borderId="0" xfId="0" applyNumberFormat="1" applyFill="1" applyBorder="1" applyAlignment="1">
      <alignment horizontal="left"/>
    </xf>
    <xf numFmtId="49" fontId="0" fillId="5" borderId="5" xfId="0" applyNumberFormat="1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8" xfId="0" applyFill="1" applyBorder="1" applyAlignment="1">
      <alignment horizontal="left"/>
    </xf>
    <xf numFmtId="0" fontId="0" fillId="4" borderId="2" xfId="0" applyFill="1" applyBorder="1" applyAlignment="1">
      <alignment horizontal="left" vertical="center" wrapText="1"/>
    </xf>
    <xf numFmtId="0" fontId="0" fillId="4" borderId="3" xfId="0" applyFill="1" applyBorder="1" applyAlignment="1">
      <alignment horizontal="left" vertical="center" wrapText="1"/>
    </xf>
    <xf numFmtId="0" fontId="0" fillId="4" borderId="0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4" borderId="10" xfId="0" applyFill="1" applyBorder="1" applyAlignment="1">
      <alignment horizontal="left"/>
    </xf>
    <xf numFmtId="0" fontId="0" fillId="4" borderId="11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0" fillId="4" borderId="7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0" xfId="0" applyFill="1" applyBorder="1" applyAlignment="1">
      <alignment horizontal="left" vertical="center" wrapText="1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6" fillId="3" borderId="5" xfId="0" applyFont="1" applyFill="1" applyBorder="1" applyAlignment="1">
      <alignment horizontal="left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left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 wrapText="1"/>
    </xf>
    <xf numFmtId="0" fontId="0" fillId="3" borderId="0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49" fontId="0" fillId="2" borderId="0" xfId="0" quotePrefix="1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2" borderId="5" xfId="0" applyNumberForma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 wrapText="1"/>
    </xf>
    <xf numFmtId="0" fontId="0" fillId="2" borderId="0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0" xfId="0" applyFont="1" applyBorder="1" applyAlignment="1"/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| MOF &amp; Propane'!$A$2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| MOF &amp; Propane'!$A$5:$A$19</c:f>
              <c:numCache>
                <c:formatCode>General</c:formatCode>
                <c:ptCount val="15"/>
                <c:pt idx="0">
                  <c:v>1362.03</c:v>
                </c:pt>
                <c:pt idx="1">
                  <c:v>3333.51</c:v>
                </c:pt>
                <c:pt idx="2">
                  <c:v>6065.09</c:v>
                </c:pt>
                <c:pt idx="3">
                  <c:v>8791.85</c:v>
                </c:pt>
                <c:pt idx="4">
                  <c:v>12576.7</c:v>
                </c:pt>
                <c:pt idx="5">
                  <c:v>17890.400000000001</c:v>
                </c:pt>
                <c:pt idx="6">
                  <c:v>24892.1</c:v>
                </c:pt>
                <c:pt idx="7">
                  <c:v>33574.5</c:v>
                </c:pt>
                <c:pt idx="8">
                  <c:v>40887.9</c:v>
                </c:pt>
                <c:pt idx="9">
                  <c:v>49726.400000000001</c:v>
                </c:pt>
                <c:pt idx="10">
                  <c:v>59937.1</c:v>
                </c:pt>
                <c:pt idx="11">
                  <c:v>69691.7</c:v>
                </c:pt>
                <c:pt idx="12">
                  <c:v>80817.600000000006</c:v>
                </c:pt>
                <c:pt idx="13">
                  <c:v>89658.2</c:v>
                </c:pt>
                <c:pt idx="14">
                  <c:v>99261.3</c:v>
                </c:pt>
              </c:numCache>
            </c:numRef>
          </c:xVal>
          <c:yVal>
            <c:numRef>
              <c:f>'DSS | MOF &amp; Propane'!$C$5:$C$19</c:f>
              <c:numCache>
                <c:formatCode>0.0000</c:formatCode>
                <c:ptCount val="15"/>
                <c:pt idx="0">
                  <c:v>2.2961749E-2</c:v>
                </c:pt>
                <c:pt idx="1">
                  <c:v>4.6619347999999998E-2</c:v>
                </c:pt>
                <c:pt idx="2">
                  <c:v>7.5147461999999998E-2</c:v>
                </c:pt>
                <c:pt idx="3">
                  <c:v>0.114808744</c:v>
                </c:pt>
                <c:pt idx="4">
                  <c:v>0.17534422399999999</c:v>
                </c:pt>
                <c:pt idx="5">
                  <c:v>0.22544282600000001</c:v>
                </c:pt>
                <c:pt idx="6">
                  <c:v>0.24979583499999999</c:v>
                </c:pt>
                <c:pt idx="7">
                  <c:v>0.26510366800000001</c:v>
                </c:pt>
                <c:pt idx="8">
                  <c:v>0.273453434</c:v>
                </c:pt>
                <c:pt idx="9">
                  <c:v>0.28041149999999998</c:v>
                </c:pt>
                <c:pt idx="10">
                  <c:v>0.28667415600000001</c:v>
                </c:pt>
                <c:pt idx="11">
                  <c:v>0.29015296800000001</c:v>
                </c:pt>
                <c:pt idx="12">
                  <c:v>0.29502392300000002</c:v>
                </c:pt>
                <c:pt idx="13">
                  <c:v>0.297111034</c:v>
                </c:pt>
                <c:pt idx="14">
                  <c:v>0.29850273500000002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77-4B66-93B3-42F5F7AE9BB5}"/>
            </c:ext>
          </c:extLst>
        </c:ser>
        <c:ser>
          <c:idx val="1"/>
          <c:order val="1"/>
          <c:tx>
            <c:strRef>
              <c:f>'DSS | MOF &amp; Propane'!$F$2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| MOF &amp; Propane'!$F$5:$F$19</c:f>
              <c:numCache>
                <c:formatCode>General</c:formatCode>
                <c:ptCount val="15"/>
                <c:pt idx="0">
                  <c:v>1526.72</c:v>
                </c:pt>
                <c:pt idx="1">
                  <c:v>3358.78</c:v>
                </c:pt>
                <c:pt idx="2">
                  <c:v>5496.18</c:v>
                </c:pt>
                <c:pt idx="3">
                  <c:v>7938.93</c:v>
                </c:pt>
                <c:pt idx="4">
                  <c:v>9923.66</c:v>
                </c:pt>
                <c:pt idx="5">
                  <c:v>12977.1</c:v>
                </c:pt>
                <c:pt idx="6">
                  <c:v>18167.900000000001</c:v>
                </c:pt>
                <c:pt idx="7">
                  <c:v>31755.7</c:v>
                </c:pt>
                <c:pt idx="8">
                  <c:v>39389.300000000003</c:v>
                </c:pt>
                <c:pt idx="9">
                  <c:v>45648.9</c:v>
                </c:pt>
                <c:pt idx="10">
                  <c:v>55114.5</c:v>
                </c:pt>
                <c:pt idx="11">
                  <c:v>65190.8</c:v>
                </c:pt>
                <c:pt idx="12">
                  <c:v>78167.899999999994</c:v>
                </c:pt>
                <c:pt idx="13">
                  <c:v>87022.9</c:v>
                </c:pt>
                <c:pt idx="14">
                  <c:v>99694.7</c:v>
                </c:pt>
              </c:numCache>
            </c:numRef>
          </c:xVal>
          <c:yVal>
            <c:numRef>
              <c:f>'DSS | MOF &amp; Propane'!$H$5:$H$19</c:f>
              <c:numCache>
                <c:formatCode>0.0000</c:formatCode>
                <c:ptCount val="15"/>
                <c:pt idx="0">
                  <c:v>1.2559972000000001E-2</c:v>
                </c:pt>
                <c:pt idx="1">
                  <c:v>2.6516496000000001E-2</c:v>
                </c:pt>
                <c:pt idx="2">
                  <c:v>4.3961004999999997E-2</c:v>
                </c:pt>
                <c:pt idx="3">
                  <c:v>6.0710544999999998E-2</c:v>
                </c:pt>
                <c:pt idx="4">
                  <c:v>7.6062474000000005E-2</c:v>
                </c:pt>
                <c:pt idx="5">
                  <c:v>9.6999289000000002E-2</c:v>
                </c:pt>
                <c:pt idx="6">
                  <c:v>0.13398652999999999</c:v>
                </c:pt>
                <c:pt idx="7">
                  <c:v>0.19473632099999999</c:v>
                </c:pt>
                <c:pt idx="8">
                  <c:v>0.21431053799999999</c:v>
                </c:pt>
                <c:pt idx="9">
                  <c:v>0.22620658599999999</c:v>
                </c:pt>
                <c:pt idx="10">
                  <c:v>0.23673033499999999</c:v>
                </c:pt>
                <c:pt idx="11">
                  <c:v>0.244469358</c:v>
                </c:pt>
                <c:pt idx="12">
                  <c:v>0.25222910700000001</c:v>
                </c:pt>
                <c:pt idx="13">
                  <c:v>0.25577671099999999</c:v>
                </c:pt>
                <c:pt idx="14">
                  <c:v>0.25795642600000002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77-4B66-93B3-42F5F7AE9BB5}"/>
            </c:ext>
          </c:extLst>
        </c:ser>
        <c:ser>
          <c:idx val="2"/>
          <c:order val="2"/>
          <c:tx>
            <c:strRef>
              <c:f>'DSS | MOF &amp; Propane'!$K$2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| MOF &amp; Propane'!$K$5:$K$19</c:f>
              <c:numCache>
                <c:formatCode>General</c:formatCode>
                <c:ptCount val="15"/>
                <c:pt idx="0">
                  <c:v>763.35900000000004</c:v>
                </c:pt>
                <c:pt idx="1">
                  <c:v>3664.12</c:v>
                </c:pt>
                <c:pt idx="2">
                  <c:v>9007.6299999999992</c:v>
                </c:pt>
                <c:pt idx="3">
                  <c:v>16030.5</c:v>
                </c:pt>
                <c:pt idx="4">
                  <c:v>24580.2</c:v>
                </c:pt>
                <c:pt idx="5">
                  <c:v>32366.400000000001</c:v>
                </c:pt>
                <c:pt idx="6">
                  <c:v>39542</c:v>
                </c:pt>
                <c:pt idx="7">
                  <c:v>49007.6</c:v>
                </c:pt>
                <c:pt idx="8">
                  <c:v>60916</c:v>
                </c:pt>
                <c:pt idx="9">
                  <c:v>70229</c:v>
                </c:pt>
                <c:pt idx="10">
                  <c:v>80610.7</c:v>
                </c:pt>
                <c:pt idx="11">
                  <c:v>90229</c:v>
                </c:pt>
                <c:pt idx="12">
                  <c:v>98931.3</c:v>
                </c:pt>
              </c:numCache>
            </c:numRef>
          </c:xVal>
          <c:yVal>
            <c:numRef>
              <c:f>'DSS | MOF &amp; Propane'!$M$5:$M$19</c:f>
              <c:numCache>
                <c:formatCode>0.0000</c:formatCode>
                <c:ptCount val="15"/>
                <c:pt idx="0">
                  <c:v>5.5828120000000004E-3</c:v>
                </c:pt>
                <c:pt idx="1">
                  <c:v>1.4666442E-2</c:v>
                </c:pt>
                <c:pt idx="2">
                  <c:v>3.2133351999999997E-2</c:v>
                </c:pt>
                <c:pt idx="3">
                  <c:v>5.6583947000000002E-2</c:v>
                </c:pt>
                <c:pt idx="4">
                  <c:v>8.3833689000000003E-2</c:v>
                </c:pt>
                <c:pt idx="5">
                  <c:v>0.108289444</c:v>
                </c:pt>
                <c:pt idx="6">
                  <c:v>0.132043616</c:v>
                </c:pt>
                <c:pt idx="7">
                  <c:v>0.15790562399999999</c:v>
                </c:pt>
                <c:pt idx="8">
                  <c:v>0.17960134799999999</c:v>
                </c:pt>
                <c:pt idx="9">
                  <c:v>0.19291290999999999</c:v>
                </c:pt>
                <c:pt idx="10">
                  <c:v>0.204837621</c:v>
                </c:pt>
                <c:pt idx="11">
                  <c:v>0.211876384</c:v>
                </c:pt>
                <c:pt idx="12">
                  <c:v>0.21681745299999999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77-4B66-93B3-42F5F7AE9BB5}"/>
            </c:ext>
          </c:extLst>
        </c:ser>
        <c:ser>
          <c:idx val="3"/>
          <c:order val="3"/>
          <c:tx>
            <c:strRef>
              <c:f>'DSS | MOF &amp; Propane'!$P$2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| MOF &amp; Propane'!$P$5:$P$19</c:f>
              <c:numCache>
                <c:formatCode>General</c:formatCode>
                <c:ptCount val="15"/>
                <c:pt idx="0">
                  <c:v>1679.39</c:v>
                </c:pt>
                <c:pt idx="1">
                  <c:v>5190.84</c:v>
                </c:pt>
                <c:pt idx="2">
                  <c:v>9007.6299999999992</c:v>
                </c:pt>
                <c:pt idx="3">
                  <c:v>20610.7</c:v>
                </c:pt>
                <c:pt idx="4">
                  <c:v>29007.599999999999</c:v>
                </c:pt>
                <c:pt idx="5">
                  <c:v>33893.1</c:v>
                </c:pt>
                <c:pt idx="6">
                  <c:v>40305.300000000003</c:v>
                </c:pt>
                <c:pt idx="7">
                  <c:v>49923.7</c:v>
                </c:pt>
                <c:pt idx="8">
                  <c:v>58931.3</c:v>
                </c:pt>
                <c:pt idx="9">
                  <c:v>69923.7</c:v>
                </c:pt>
                <c:pt idx="10">
                  <c:v>80763.399999999994</c:v>
                </c:pt>
                <c:pt idx="11">
                  <c:v>90992.4</c:v>
                </c:pt>
                <c:pt idx="12">
                  <c:v>99694.7</c:v>
                </c:pt>
              </c:numCache>
            </c:numRef>
          </c:xVal>
          <c:yVal>
            <c:numRef>
              <c:f>'DSS | MOF &amp; Propane'!$R$5:$R$19</c:f>
              <c:numCache>
                <c:formatCode>0.0000</c:formatCode>
                <c:ptCount val="15"/>
                <c:pt idx="0">
                  <c:v>0</c:v>
                </c:pt>
                <c:pt idx="1">
                  <c:v>2.824933E-3</c:v>
                </c:pt>
                <c:pt idx="2">
                  <c:v>7.0346619999999997E-3</c:v>
                </c:pt>
                <c:pt idx="3">
                  <c:v>1.6876142E-2</c:v>
                </c:pt>
                <c:pt idx="4">
                  <c:v>2.5300917999999999E-2</c:v>
                </c:pt>
                <c:pt idx="5">
                  <c:v>2.8820917000000001E-2</c:v>
                </c:pt>
                <c:pt idx="6">
                  <c:v>3.5140282000000002E-2</c:v>
                </c:pt>
                <c:pt idx="7">
                  <c:v>4.3573568999999999E-2</c:v>
                </c:pt>
                <c:pt idx="8">
                  <c:v>5.2699884000000002E-2</c:v>
                </c:pt>
                <c:pt idx="9">
                  <c:v>6.4628563E-2</c:v>
                </c:pt>
                <c:pt idx="10">
                  <c:v>7.3767665999999996E-2</c:v>
                </c:pt>
                <c:pt idx="11">
                  <c:v>8.1508013000000004E-2</c:v>
                </c:pt>
                <c:pt idx="12">
                  <c:v>9.2026469999999999E-2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77-4B66-93B3-42F5F7AE9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| MOF &amp; Propane'!$D$2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Propane'!$A$5:$A$19</c:f>
              <c:numCache>
                <c:formatCode>General</c:formatCode>
                <c:ptCount val="15"/>
                <c:pt idx="0">
                  <c:v>1362.03</c:v>
                </c:pt>
                <c:pt idx="1">
                  <c:v>3333.51</c:v>
                </c:pt>
                <c:pt idx="2">
                  <c:v>6065.09</c:v>
                </c:pt>
                <c:pt idx="3">
                  <c:v>8791.85</c:v>
                </c:pt>
                <c:pt idx="4">
                  <c:v>12576.7</c:v>
                </c:pt>
                <c:pt idx="5">
                  <c:v>17890.400000000001</c:v>
                </c:pt>
                <c:pt idx="6">
                  <c:v>24892.1</c:v>
                </c:pt>
                <c:pt idx="7">
                  <c:v>33574.5</c:v>
                </c:pt>
                <c:pt idx="8">
                  <c:v>40887.9</c:v>
                </c:pt>
                <c:pt idx="9">
                  <c:v>49726.400000000001</c:v>
                </c:pt>
                <c:pt idx="10">
                  <c:v>59937.1</c:v>
                </c:pt>
                <c:pt idx="11">
                  <c:v>69691.7</c:v>
                </c:pt>
                <c:pt idx="12">
                  <c:v>80817.600000000006</c:v>
                </c:pt>
                <c:pt idx="13">
                  <c:v>89658.2</c:v>
                </c:pt>
                <c:pt idx="14">
                  <c:v>99261.3</c:v>
                </c:pt>
              </c:numCache>
            </c:numRef>
          </c:xVal>
          <c:yVal>
            <c:numRef>
              <c:f>'DSS | MOF &amp; Propane'!$D$5:$D$19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77-4B66-93B3-42F5F7AE9BB5}"/>
            </c:ext>
          </c:extLst>
        </c:ser>
        <c:ser>
          <c:idx val="5"/>
          <c:order val="5"/>
          <c:tx>
            <c:strRef>
              <c:f>'DSS | MOF &amp; Propane'!$I$2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Propane'!$F$5:$F$19</c:f>
              <c:numCache>
                <c:formatCode>General</c:formatCode>
                <c:ptCount val="15"/>
                <c:pt idx="0">
                  <c:v>1526.72</c:v>
                </c:pt>
                <c:pt idx="1">
                  <c:v>3358.78</c:v>
                </c:pt>
                <c:pt idx="2">
                  <c:v>5496.18</c:v>
                </c:pt>
                <c:pt idx="3">
                  <c:v>7938.93</c:v>
                </c:pt>
                <c:pt idx="4">
                  <c:v>9923.66</c:v>
                </c:pt>
                <c:pt idx="5">
                  <c:v>12977.1</c:v>
                </c:pt>
                <c:pt idx="6">
                  <c:v>18167.900000000001</c:v>
                </c:pt>
                <c:pt idx="7">
                  <c:v>31755.7</c:v>
                </c:pt>
                <c:pt idx="8">
                  <c:v>39389.300000000003</c:v>
                </c:pt>
                <c:pt idx="9">
                  <c:v>45648.9</c:v>
                </c:pt>
                <c:pt idx="10">
                  <c:v>55114.5</c:v>
                </c:pt>
                <c:pt idx="11">
                  <c:v>65190.8</c:v>
                </c:pt>
                <c:pt idx="12">
                  <c:v>78167.899999999994</c:v>
                </c:pt>
                <c:pt idx="13">
                  <c:v>87022.9</c:v>
                </c:pt>
                <c:pt idx="14">
                  <c:v>99694.7</c:v>
                </c:pt>
              </c:numCache>
            </c:numRef>
          </c:xVal>
          <c:yVal>
            <c:numRef>
              <c:f>'DSS | MOF &amp; Propane'!$I$5:$I$19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077-4B66-93B3-42F5F7AE9BB5}"/>
            </c:ext>
          </c:extLst>
        </c:ser>
        <c:ser>
          <c:idx val="6"/>
          <c:order val="6"/>
          <c:tx>
            <c:strRef>
              <c:f>'DSS | MOF &amp; Propane'!$N$2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Propane'!$K$5:$K$19</c:f>
              <c:numCache>
                <c:formatCode>General</c:formatCode>
                <c:ptCount val="15"/>
                <c:pt idx="0">
                  <c:v>763.35900000000004</c:v>
                </c:pt>
                <c:pt idx="1">
                  <c:v>3664.12</c:v>
                </c:pt>
                <c:pt idx="2">
                  <c:v>9007.6299999999992</c:v>
                </c:pt>
                <c:pt idx="3">
                  <c:v>16030.5</c:v>
                </c:pt>
                <c:pt idx="4">
                  <c:v>24580.2</c:v>
                </c:pt>
                <c:pt idx="5">
                  <c:v>32366.400000000001</c:v>
                </c:pt>
                <c:pt idx="6">
                  <c:v>39542</c:v>
                </c:pt>
                <c:pt idx="7">
                  <c:v>49007.6</c:v>
                </c:pt>
                <c:pt idx="8">
                  <c:v>60916</c:v>
                </c:pt>
                <c:pt idx="9">
                  <c:v>70229</c:v>
                </c:pt>
                <c:pt idx="10">
                  <c:v>80610.7</c:v>
                </c:pt>
                <c:pt idx="11">
                  <c:v>90229</c:v>
                </c:pt>
                <c:pt idx="12">
                  <c:v>98931.3</c:v>
                </c:pt>
              </c:numCache>
            </c:numRef>
          </c:xVal>
          <c:yVal>
            <c:numRef>
              <c:f>'DSS | MOF &amp; Propane'!$N$5:$N$19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077-4B66-93B3-42F5F7AE9BB5}"/>
            </c:ext>
          </c:extLst>
        </c:ser>
        <c:ser>
          <c:idx val="7"/>
          <c:order val="7"/>
          <c:tx>
            <c:strRef>
              <c:f>'DSS | MOF &amp; Propane'!$S$2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Propane'!$P$5:$P$19</c:f>
              <c:numCache>
                <c:formatCode>General</c:formatCode>
                <c:ptCount val="15"/>
                <c:pt idx="0">
                  <c:v>1679.39</c:v>
                </c:pt>
                <c:pt idx="1">
                  <c:v>5190.84</c:v>
                </c:pt>
                <c:pt idx="2">
                  <c:v>9007.6299999999992</c:v>
                </c:pt>
                <c:pt idx="3">
                  <c:v>20610.7</c:v>
                </c:pt>
                <c:pt idx="4">
                  <c:v>29007.599999999999</c:v>
                </c:pt>
                <c:pt idx="5">
                  <c:v>33893.1</c:v>
                </c:pt>
                <c:pt idx="6">
                  <c:v>40305.300000000003</c:v>
                </c:pt>
                <c:pt idx="7">
                  <c:v>49923.7</c:v>
                </c:pt>
                <c:pt idx="8">
                  <c:v>58931.3</c:v>
                </c:pt>
                <c:pt idx="9">
                  <c:v>69923.7</c:v>
                </c:pt>
                <c:pt idx="10">
                  <c:v>80763.399999999994</c:v>
                </c:pt>
                <c:pt idx="11">
                  <c:v>90992.4</c:v>
                </c:pt>
                <c:pt idx="12">
                  <c:v>99694.7</c:v>
                </c:pt>
              </c:numCache>
            </c:numRef>
          </c:xVal>
          <c:yVal>
            <c:numRef>
              <c:f>'DSS | MOF &amp; Propane'!$S$5:$S$19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077-4B66-93B3-42F5F7AE9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| MOF &amp; Isobutane'!$A$2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| MOF &amp; Isobutane'!$A$5:$A$17</c:f>
              <c:numCache>
                <c:formatCode>General</c:formatCode>
                <c:ptCount val="13"/>
                <c:pt idx="0">
                  <c:v>301.20499999999998</c:v>
                </c:pt>
                <c:pt idx="1">
                  <c:v>1204.82</c:v>
                </c:pt>
                <c:pt idx="2">
                  <c:v>1807.23</c:v>
                </c:pt>
                <c:pt idx="3">
                  <c:v>2409.64</c:v>
                </c:pt>
                <c:pt idx="4">
                  <c:v>6325.3</c:v>
                </c:pt>
                <c:pt idx="5">
                  <c:v>11747</c:v>
                </c:pt>
                <c:pt idx="6">
                  <c:v>22289.200000000001</c:v>
                </c:pt>
                <c:pt idx="7">
                  <c:v>34337.300000000003</c:v>
                </c:pt>
                <c:pt idx="8">
                  <c:v>47590.400000000001</c:v>
                </c:pt>
                <c:pt idx="9">
                  <c:v>59337.3</c:v>
                </c:pt>
                <c:pt idx="10">
                  <c:v>72590.399999999994</c:v>
                </c:pt>
                <c:pt idx="11">
                  <c:v>82530.100000000006</c:v>
                </c:pt>
                <c:pt idx="12">
                  <c:v>99096.4</c:v>
                </c:pt>
              </c:numCache>
            </c:numRef>
          </c:xVal>
          <c:yVal>
            <c:numRef>
              <c:f>'DSS | MOF &amp; Isobutane'!$C$5:$C$17</c:f>
              <c:numCache>
                <c:formatCode>0.0000</c:formatCode>
                <c:ptCount val="13"/>
                <c:pt idx="0">
                  <c:v>5.24663E-2</c:v>
                </c:pt>
                <c:pt idx="1">
                  <c:v>0.13026099999999999</c:v>
                </c:pt>
                <c:pt idx="2">
                  <c:v>0.229766</c:v>
                </c:pt>
                <c:pt idx="3">
                  <c:v>0.28585100000000002</c:v>
                </c:pt>
                <c:pt idx="4">
                  <c:v>0.32384400000000002</c:v>
                </c:pt>
                <c:pt idx="5">
                  <c:v>0.33831699999999998</c:v>
                </c:pt>
                <c:pt idx="6">
                  <c:v>0.34374500000000002</c:v>
                </c:pt>
                <c:pt idx="7">
                  <c:v>0.34736299999999998</c:v>
                </c:pt>
                <c:pt idx="8">
                  <c:v>0.34917199999999998</c:v>
                </c:pt>
                <c:pt idx="9">
                  <c:v>0.34917199999999998</c:v>
                </c:pt>
                <c:pt idx="10">
                  <c:v>0.34917199999999998</c:v>
                </c:pt>
                <c:pt idx="11">
                  <c:v>0.34917199999999998</c:v>
                </c:pt>
                <c:pt idx="12">
                  <c:v>0.34736299999999998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3-4C11-899C-42B85DDEC182}"/>
            </c:ext>
          </c:extLst>
        </c:ser>
        <c:ser>
          <c:idx val="1"/>
          <c:order val="1"/>
          <c:tx>
            <c:strRef>
              <c:f>'DSS | MOF &amp; Isobutane'!$F$2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| MOF &amp; Isobutane'!$F$5:$F$17</c:f>
              <c:numCache>
                <c:formatCode>General</c:formatCode>
                <c:ptCount val="13"/>
                <c:pt idx="0">
                  <c:v>2108.4299999999998</c:v>
                </c:pt>
                <c:pt idx="1">
                  <c:v>3915.66</c:v>
                </c:pt>
                <c:pt idx="2">
                  <c:v>5120.4799999999996</c:v>
                </c:pt>
                <c:pt idx="3">
                  <c:v>6927.71</c:v>
                </c:pt>
                <c:pt idx="4">
                  <c:v>12048.2</c:v>
                </c:pt>
                <c:pt idx="5">
                  <c:v>20783.099999999999</c:v>
                </c:pt>
                <c:pt idx="6">
                  <c:v>28614.5</c:v>
                </c:pt>
                <c:pt idx="7">
                  <c:v>40060.199999999997</c:v>
                </c:pt>
                <c:pt idx="8">
                  <c:v>53313.3</c:v>
                </c:pt>
                <c:pt idx="9">
                  <c:v>67771.100000000006</c:v>
                </c:pt>
                <c:pt idx="10">
                  <c:v>82530.100000000006</c:v>
                </c:pt>
                <c:pt idx="11">
                  <c:v>99397.6</c:v>
                </c:pt>
              </c:numCache>
            </c:numRef>
          </c:xVal>
          <c:yVal>
            <c:numRef>
              <c:f>'DSS | MOF &amp; Isobutane'!$H$5:$H$17</c:f>
              <c:numCache>
                <c:formatCode>0.0000</c:formatCode>
                <c:ptCount val="13"/>
                <c:pt idx="0">
                  <c:v>4.88479E-2</c:v>
                </c:pt>
                <c:pt idx="1">
                  <c:v>0.121215</c:v>
                </c:pt>
                <c:pt idx="2">
                  <c:v>0.180918</c:v>
                </c:pt>
                <c:pt idx="3">
                  <c:v>0.25328600000000001</c:v>
                </c:pt>
                <c:pt idx="4">
                  <c:v>0.30032399999999998</c:v>
                </c:pt>
                <c:pt idx="5">
                  <c:v>0.31479800000000002</c:v>
                </c:pt>
                <c:pt idx="6">
                  <c:v>0.32203500000000002</c:v>
                </c:pt>
                <c:pt idx="7">
                  <c:v>0.32565300000000003</c:v>
                </c:pt>
                <c:pt idx="8">
                  <c:v>0.32746199999999998</c:v>
                </c:pt>
                <c:pt idx="9">
                  <c:v>0.32927099999999998</c:v>
                </c:pt>
                <c:pt idx="10">
                  <c:v>0.32927099999999998</c:v>
                </c:pt>
                <c:pt idx="11">
                  <c:v>0.32927099999999998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E3-4C11-899C-42B85DDEC182}"/>
            </c:ext>
          </c:extLst>
        </c:ser>
        <c:ser>
          <c:idx val="2"/>
          <c:order val="2"/>
          <c:tx>
            <c:strRef>
              <c:f>'DSS | MOF &amp; Isobutane'!$K$2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| MOF &amp; Isobutane'!$K$5:$K$17</c:f>
              <c:numCache>
                <c:formatCode>General</c:formatCode>
                <c:ptCount val="13"/>
                <c:pt idx="0">
                  <c:v>1807.23</c:v>
                </c:pt>
                <c:pt idx="1">
                  <c:v>3915.66</c:v>
                </c:pt>
                <c:pt idx="2">
                  <c:v>5722.89</c:v>
                </c:pt>
                <c:pt idx="3">
                  <c:v>7530.12</c:v>
                </c:pt>
                <c:pt idx="4">
                  <c:v>11747</c:v>
                </c:pt>
                <c:pt idx="5">
                  <c:v>15662.7</c:v>
                </c:pt>
                <c:pt idx="6">
                  <c:v>23192.799999999999</c:v>
                </c:pt>
                <c:pt idx="7">
                  <c:v>32530.1</c:v>
                </c:pt>
                <c:pt idx="8">
                  <c:v>40060.199999999997</c:v>
                </c:pt>
                <c:pt idx="9">
                  <c:v>52409.599999999999</c:v>
                </c:pt>
                <c:pt idx="10">
                  <c:v>64759</c:v>
                </c:pt>
                <c:pt idx="11">
                  <c:v>82530.100000000006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Isobutane'!$M$5:$M$17</c:f>
              <c:numCache>
                <c:formatCode>0.0000</c:formatCode>
                <c:ptCount val="13"/>
                <c:pt idx="0">
                  <c:v>3.0756100000000001E-2</c:v>
                </c:pt>
                <c:pt idx="1">
                  <c:v>6.6939799999999994E-2</c:v>
                </c:pt>
                <c:pt idx="2">
                  <c:v>0.101314</c:v>
                </c:pt>
                <c:pt idx="3">
                  <c:v>0.15197099999999999</c:v>
                </c:pt>
                <c:pt idx="4">
                  <c:v>0.23338500000000001</c:v>
                </c:pt>
                <c:pt idx="5">
                  <c:v>0.26775900000000002</c:v>
                </c:pt>
                <c:pt idx="6">
                  <c:v>0.28946899999999998</c:v>
                </c:pt>
                <c:pt idx="7">
                  <c:v>0.30213400000000001</c:v>
                </c:pt>
                <c:pt idx="8">
                  <c:v>0.30756099999999997</c:v>
                </c:pt>
                <c:pt idx="9">
                  <c:v>0.31117899999999998</c:v>
                </c:pt>
                <c:pt idx="10">
                  <c:v>0.31479800000000002</c:v>
                </c:pt>
                <c:pt idx="11">
                  <c:v>0.31660700000000003</c:v>
                </c:pt>
                <c:pt idx="12">
                  <c:v>0.31841599999999998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E3-4C11-899C-42B85DDEC182}"/>
            </c:ext>
          </c:extLst>
        </c:ser>
        <c:ser>
          <c:idx val="3"/>
          <c:order val="3"/>
          <c:tx>
            <c:strRef>
              <c:f>'DSS | MOF &amp; Isobutane'!$P$2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| MOF &amp; Isobutane'!$P$5:$P$17</c:f>
              <c:numCache>
                <c:formatCode>General</c:formatCode>
                <c:ptCount val="13"/>
                <c:pt idx="0">
                  <c:v>3313.25</c:v>
                </c:pt>
                <c:pt idx="1">
                  <c:v>5421.69</c:v>
                </c:pt>
                <c:pt idx="2">
                  <c:v>8433.73</c:v>
                </c:pt>
                <c:pt idx="3">
                  <c:v>10241</c:v>
                </c:pt>
                <c:pt idx="4">
                  <c:v>14759</c:v>
                </c:pt>
                <c:pt idx="5">
                  <c:v>19578.3</c:v>
                </c:pt>
                <c:pt idx="6">
                  <c:v>25602.400000000001</c:v>
                </c:pt>
                <c:pt idx="7">
                  <c:v>33734.9</c:v>
                </c:pt>
                <c:pt idx="8">
                  <c:v>44879.5</c:v>
                </c:pt>
                <c:pt idx="9">
                  <c:v>57831.3</c:v>
                </c:pt>
                <c:pt idx="10">
                  <c:v>70180.7</c:v>
                </c:pt>
                <c:pt idx="11">
                  <c:v>83433.7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Isobutane'!$R$5:$R$17</c:f>
              <c:numCache>
                <c:formatCode>0.0000</c:formatCode>
                <c:ptCount val="13"/>
                <c:pt idx="0">
                  <c:v>9.0459100000000008E-3</c:v>
                </c:pt>
                <c:pt idx="1">
                  <c:v>1.9900999999999999E-2</c:v>
                </c:pt>
                <c:pt idx="2">
                  <c:v>2.8946900000000001E-2</c:v>
                </c:pt>
                <c:pt idx="3">
                  <c:v>3.4374500000000002E-2</c:v>
                </c:pt>
                <c:pt idx="4">
                  <c:v>5.6084700000000001E-2</c:v>
                </c:pt>
                <c:pt idx="5">
                  <c:v>7.77949E-2</c:v>
                </c:pt>
                <c:pt idx="6">
                  <c:v>0.11036</c:v>
                </c:pt>
                <c:pt idx="7">
                  <c:v>0.15016199999999999</c:v>
                </c:pt>
                <c:pt idx="8">
                  <c:v>0.191773</c:v>
                </c:pt>
                <c:pt idx="9">
                  <c:v>0.222529</c:v>
                </c:pt>
                <c:pt idx="10">
                  <c:v>0.238812</c:v>
                </c:pt>
                <c:pt idx="11">
                  <c:v>0.25147599999999998</c:v>
                </c:pt>
                <c:pt idx="12">
                  <c:v>0.25690400000000002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E3-4C11-899C-42B85DDEC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| MOF &amp; Isobutane'!$D$2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Isobutane'!$A$5:$A$17</c:f>
              <c:numCache>
                <c:formatCode>General</c:formatCode>
                <c:ptCount val="13"/>
                <c:pt idx="0">
                  <c:v>301.20499999999998</c:v>
                </c:pt>
                <c:pt idx="1">
                  <c:v>1204.82</c:v>
                </c:pt>
                <c:pt idx="2">
                  <c:v>1807.23</c:v>
                </c:pt>
                <c:pt idx="3">
                  <c:v>2409.64</c:v>
                </c:pt>
                <c:pt idx="4">
                  <c:v>6325.3</c:v>
                </c:pt>
                <c:pt idx="5">
                  <c:v>11747</c:v>
                </c:pt>
                <c:pt idx="6">
                  <c:v>22289.200000000001</c:v>
                </c:pt>
                <c:pt idx="7">
                  <c:v>34337.300000000003</c:v>
                </c:pt>
                <c:pt idx="8">
                  <c:v>47590.400000000001</c:v>
                </c:pt>
                <c:pt idx="9">
                  <c:v>59337.3</c:v>
                </c:pt>
                <c:pt idx="10">
                  <c:v>72590.399999999994</c:v>
                </c:pt>
                <c:pt idx="11">
                  <c:v>82530.100000000006</c:v>
                </c:pt>
                <c:pt idx="12">
                  <c:v>99096.4</c:v>
                </c:pt>
              </c:numCache>
            </c:numRef>
          </c:xVal>
          <c:yVal>
            <c:numRef>
              <c:f>'DSS | MOF &amp; Isobutane'!$D$5:$D$17</c:f>
              <c:numCache>
                <c:formatCode>0.0000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EE3-4C11-899C-42B85DDEC182}"/>
            </c:ext>
          </c:extLst>
        </c:ser>
        <c:ser>
          <c:idx val="5"/>
          <c:order val="5"/>
          <c:tx>
            <c:strRef>
              <c:f>'DSS | MOF &amp; Isobutane'!$I$2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Isobutane'!$F$5:$F$17</c:f>
              <c:numCache>
                <c:formatCode>General</c:formatCode>
                <c:ptCount val="13"/>
                <c:pt idx="0">
                  <c:v>2108.4299999999998</c:v>
                </c:pt>
                <c:pt idx="1">
                  <c:v>3915.66</c:v>
                </c:pt>
                <c:pt idx="2">
                  <c:v>5120.4799999999996</c:v>
                </c:pt>
                <c:pt idx="3">
                  <c:v>6927.71</c:v>
                </c:pt>
                <c:pt idx="4">
                  <c:v>12048.2</c:v>
                </c:pt>
                <c:pt idx="5">
                  <c:v>20783.099999999999</c:v>
                </c:pt>
                <c:pt idx="6">
                  <c:v>28614.5</c:v>
                </c:pt>
                <c:pt idx="7">
                  <c:v>40060.199999999997</c:v>
                </c:pt>
                <c:pt idx="8">
                  <c:v>53313.3</c:v>
                </c:pt>
                <c:pt idx="9">
                  <c:v>67771.100000000006</c:v>
                </c:pt>
                <c:pt idx="10">
                  <c:v>82530.100000000006</c:v>
                </c:pt>
                <c:pt idx="11">
                  <c:v>99397.6</c:v>
                </c:pt>
              </c:numCache>
            </c:numRef>
          </c:xVal>
          <c:yVal>
            <c:numRef>
              <c:f>'DSS | MOF &amp; Isobutane'!$I$5:$I$17</c:f>
              <c:numCache>
                <c:formatCode>0.0000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EE3-4C11-899C-42B85DDEC182}"/>
            </c:ext>
          </c:extLst>
        </c:ser>
        <c:ser>
          <c:idx val="6"/>
          <c:order val="6"/>
          <c:tx>
            <c:strRef>
              <c:f>'DSS | MOF &amp; Isobutane'!$N$2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Isobutane'!$K$5:$K$17</c:f>
              <c:numCache>
                <c:formatCode>General</c:formatCode>
                <c:ptCount val="13"/>
                <c:pt idx="0">
                  <c:v>1807.23</c:v>
                </c:pt>
                <c:pt idx="1">
                  <c:v>3915.66</c:v>
                </c:pt>
                <c:pt idx="2">
                  <c:v>5722.89</c:v>
                </c:pt>
                <c:pt idx="3">
                  <c:v>7530.12</c:v>
                </c:pt>
                <c:pt idx="4">
                  <c:v>11747</c:v>
                </c:pt>
                <c:pt idx="5">
                  <c:v>15662.7</c:v>
                </c:pt>
                <c:pt idx="6">
                  <c:v>23192.799999999999</c:v>
                </c:pt>
                <c:pt idx="7">
                  <c:v>32530.1</c:v>
                </c:pt>
                <c:pt idx="8">
                  <c:v>40060.199999999997</c:v>
                </c:pt>
                <c:pt idx="9">
                  <c:v>52409.599999999999</c:v>
                </c:pt>
                <c:pt idx="10">
                  <c:v>64759</c:v>
                </c:pt>
                <c:pt idx="11">
                  <c:v>82530.100000000006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Isobutane'!$N$5:$N$17</c:f>
              <c:numCache>
                <c:formatCode>0.0000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EE3-4C11-899C-42B85DDEC182}"/>
            </c:ext>
          </c:extLst>
        </c:ser>
        <c:ser>
          <c:idx val="7"/>
          <c:order val="7"/>
          <c:tx>
            <c:strRef>
              <c:f>'DSS | MOF &amp; Isobutane'!$S$2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Isobutane'!$P$5:$P$17</c:f>
              <c:numCache>
                <c:formatCode>General</c:formatCode>
                <c:ptCount val="13"/>
                <c:pt idx="0">
                  <c:v>3313.25</c:v>
                </c:pt>
                <c:pt idx="1">
                  <c:v>5421.69</c:v>
                </c:pt>
                <c:pt idx="2">
                  <c:v>8433.73</c:v>
                </c:pt>
                <c:pt idx="3">
                  <c:v>10241</c:v>
                </c:pt>
                <c:pt idx="4">
                  <c:v>14759</c:v>
                </c:pt>
                <c:pt idx="5">
                  <c:v>19578.3</c:v>
                </c:pt>
                <c:pt idx="6">
                  <c:v>25602.400000000001</c:v>
                </c:pt>
                <c:pt idx="7">
                  <c:v>33734.9</c:v>
                </c:pt>
                <c:pt idx="8">
                  <c:v>44879.5</c:v>
                </c:pt>
                <c:pt idx="9">
                  <c:v>57831.3</c:v>
                </c:pt>
                <c:pt idx="10">
                  <c:v>70180.7</c:v>
                </c:pt>
                <c:pt idx="11">
                  <c:v>83433.7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Isobutane'!$S$5:$S$17</c:f>
              <c:numCache>
                <c:formatCode>0.0000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EE3-4C11-899C-42B85DDEC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| MOF &amp; Propylene'!$A$2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| MOF &amp; Propylene'!$A$5:$A$19</c:f>
              <c:numCache>
                <c:formatCode>General</c:formatCode>
                <c:ptCount val="15"/>
                <c:pt idx="0">
                  <c:v>0</c:v>
                </c:pt>
                <c:pt idx="1">
                  <c:v>911.85400000000004</c:v>
                </c:pt>
                <c:pt idx="2">
                  <c:v>2735.56</c:v>
                </c:pt>
                <c:pt idx="3">
                  <c:v>5167.17</c:v>
                </c:pt>
                <c:pt idx="4">
                  <c:v>9422.49</c:v>
                </c:pt>
                <c:pt idx="5">
                  <c:v>13981.8</c:v>
                </c:pt>
                <c:pt idx="6">
                  <c:v>18845</c:v>
                </c:pt>
                <c:pt idx="7">
                  <c:v>25531.9</c:v>
                </c:pt>
                <c:pt idx="8">
                  <c:v>34346.5</c:v>
                </c:pt>
                <c:pt idx="9">
                  <c:v>40121.599999999999</c:v>
                </c:pt>
                <c:pt idx="10">
                  <c:v>52279.6</c:v>
                </c:pt>
                <c:pt idx="11">
                  <c:v>64133.7</c:v>
                </c:pt>
                <c:pt idx="12">
                  <c:v>75683.899999999994</c:v>
                </c:pt>
                <c:pt idx="13">
                  <c:v>87841.9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Propylene'!$C$5:$C$19</c:f>
              <c:numCache>
                <c:formatCode>0.0000</c:formatCode>
                <c:ptCount val="15"/>
                <c:pt idx="0">
                  <c:v>3.3803300000000001E-2</c:v>
                </c:pt>
                <c:pt idx="1">
                  <c:v>8.6513599999999996E-2</c:v>
                </c:pt>
                <c:pt idx="2">
                  <c:v>0.150031</c:v>
                </c:pt>
                <c:pt idx="3">
                  <c:v>0.210837</c:v>
                </c:pt>
                <c:pt idx="4">
                  <c:v>0.25404300000000002</c:v>
                </c:pt>
                <c:pt idx="5">
                  <c:v>0.28237200000000001</c:v>
                </c:pt>
                <c:pt idx="6">
                  <c:v>0.29853000000000002</c:v>
                </c:pt>
                <c:pt idx="7">
                  <c:v>0.31060700000000002</c:v>
                </c:pt>
                <c:pt idx="8">
                  <c:v>0.31724799999999997</c:v>
                </c:pt>
                <c:pt idx="9">
                  <c:v>0.32257799999999998</c:v>
                </c:pt>
                <c:pt idx="10">
                  <c:v>0.32511699999999999</c:v>
                </c:pt>
                <c:pt idx="11">
                  <c:v>0.32766099999999998</c:v>
                </c:pt>
                <c:pt idx="12">
                  <c:v>0.33020899999999997</c:v>
                </c:pt>
                <c:pt idx="13">
                  <c:v>0.331397</c:v>
                </c:pt>
                <c:pt idx="14">
                  <c:v>0.33123999999999998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B7-492A-82B9-199D9DDF5A7B}"/>
            </c:ext>
          </c:extLst>
        </c:ser>
        <c:ser>
          <c:idx val="1"/>
          <c:order val="1"/>
          <c:tx>
            <c:strRef>
              <c:f>'DSS | MOF &amp; Propylene'!$F$2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| MOF &amp; Propylene'!$F$5:$F$19</c:f>
              <c:numCache>
                <c:formatCode>General</c:formatCode>
                <c:ptCount val="15"/>
                <c:pt idx="0">
                  <c:v>2431.61</c:v>
                </c:pt>
                <c:pt idx="1">
                  <c:v>4559.2700000000004</c:v>
                </c:pt>
                <c:pt idx="2">
                  <c:v>7902.74</c:v>
                </c:pt>
                <c:pt idx="3">
                  <c:v>12462</c:v>
                </c:pt>
                <c:pt idx="4">
                  <c:v>17629.2</c:v>
                </c:pt>
                <c:pt idx="5">
                  <c:v>23708.2</c:v>
                </c:pt>
                <c:pt idx="6">
                  <c:v>33434.699999999997</c:v>
                </c:pt>
                <c:pt idx="7">
                  <c:v>39817.599999999999</c:v>
                </c:pt>
                <c:pt idx="8">
                  <c:v>50759.9</c:v>
                </c:pt>
                <c:pt idx="9">
                  <c:v>59878.400000000001</c:v>
                </c:pt>
                <c:pt idx="10">
                  <c:v>70516.7</c:v>
                </c:pt>
                <c:pt idx="11">
                  <c:v>80243.199999999997</c:v>
                </c:pt>
                <c:pt idx="12">
                  <c:v>90577.5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Propylene'!$H$5:$H$19</c:f>
              <c:numCache>
                <c:formatCode>0.0000</c:formatCode>
                <c:ptCount val="15"/>
                <c:pt idx="0">
                  <c:v>5.1341900000000003E-2</c:v>
                </c:pt>
                <c:pt idx="1">
                  <c:v>9.4576099999999996E-2</c:v>
                </c:pt>
                <c:pt idx="2">
                  <c:v>0.14185</c:v>
                </c:pt>
                <c:pt idx="3">
                  <c:v>0.18234700000000001</c:v>
                </c:pt>
                <c:pt idx="4">
                  <c:v>0.210669</c:v>
                </c:pt>
                <c:pt idx="5">
                  <c:v>0.23492199999999999</c:v>
                </c:pt>
                <c:pt idx="6">
                  <c:v>0.25912600000000002</c:v>
                </c:pt>
                <c:pt idx="7">
                  <c:v>0.272559</c:v>
                </c:pt>
                <c:pt idx="8">
                  <c:v>0.28322700000000001</c:v>
                </c:pt>
                <c:pt idx="9">
                  <c:v>0.29121599999999997</c:v>
                </c:pt>
                <c:pt idx="10">
                  <c:v>0.29648000000000002</c:v>
                </c:pt>
                <c:pt idx="11">
                  <c:v>0.300404</c:v>
                </c:pt>
                <c:pt idx="12">
                  <c:v>0.301616</c:v>
                </c:pt>
                <c:pt idx="13">
                  <c:v>0.304205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B7-492A-82B9-199D9DDF5A7B}"/>
            </c:ext>
          </c:extLst>
        </c:ser>
        <c:ser>
          <c:idx val="2"/>
          <c:order val="2"/>
          <c:tx>
            <c:strRef>
              <c:f>'DSS | MOF &amp; Propylene'!$K$2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| MOF &amp; Propylene'!$K$5:$K$19</c:f>
              <c:numCache>
                <c:formatCode>General</c:formatCode>
                <c:ptCount val="15"/>
                <c:pt idx="0">
                  <c:v>303.95100000000002</c:v>
                </c:pt>
                <c:pt idx="1">
                  <c:v>3039.51</c:v>
                </c:pt>
                <c:pt idx="2">
                  <c:v>6686.93</c:v>
                </c:pt>
                <c:pt idx="3">
                  <c:v>12766</c:v>
                </c:pt>
                <c:pt idx="4">
                  <c:v>19148.900000000001</c:v>
                </c:pt>
                <c:pt idx="5">
                  <c:v>27963.5</c:v>
                </c:pt>
                <c:pt idx="6">
                  <c:v>35258.400000000001</c:v>
                </c:pt>
                <c:pt idx="7">
                  <c:v>41033.4</c:v>
                </c:pt>
                <c:pt idx="8">
                  <c:v>47720.4</c:v>
                </c:pt>
                <c:pt idx="9">
                  <c:v>53495.4</c:v>
                </c:pt>
                <c:pt idx="10">
                  <c:v>60182.400000000001</c:v>
                </c:pt>
                <c:pt idx="11">
                  <c:v>69908.800000000003</c:v>
                </c:pt>
                <c:pt idx="12">
                  <c:v>79939.199999999997</c:v>
                </c:pt>
                <c:pt idx="13">
                  <c:v>90273.600000000006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Propylene'!$M$5:$M$19</c:f>
              <c:numCache>
                <c:formatCode>0.0000</c:formatCode>
                <c:ptCount val="15"/>
                <c:pt idx="0">
                  <c:v>1.3515599999999999E-2</c:v>
                </c:pt>
                <c:pt idx="1">
                  <c:v>4.0517900000000003E-2</c:v>
                </c:pt>
                <c:pt idx="2">
                  <c:v>7.6971800000000007E-2</c:v>
                </c:pt>
                <c:pt idx="3">
                  <c:v>0.120153</c:v>
                </c:pt>
                <c:pt idx="4">
                  <c:v>0.15251300000000001</c:v>
                </c:pt>
                <c:pt idx="5">
                  <c:v>0.18213799999999999</c:v>
                </c:pt>
                <c:pt idx="6">
                  <c:v>0.20096700000000001</c:v>
                </c:pt>
                <c:pt idx="7">
                  <c:v>0.213056</c:v>
                </c:pt>
                <c:pt idx="8">
                  <c:v>0.22378200000000001</c:v>
                </c:pt>
                <c:pt idx="9">
                  <c:v>0.23181499999999999</c:v>
                </c:pt>
                <c:pt idx="10">
                  <c:v>0.23983699999999999</c:v>
                </c:pt>
                <c:pt idx="11">
                  <c:v>0.249169</c:v>
                </c:pt>
                <c:pt idx="12">
                  <c:v>0.25714500000000001</c:v>
                </c:pt>
                <c:pt idx="13">
                  <c:v>0.26376500000000003</c:v>
                </c:pt>
                <c:pt idx="14">
                  <c:v>0.26769799999999999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B7-492A-82B9-199D9DDF5A7B}"/>
            </c:ext>
          </c:extLst>
        </c:ser>
        <c:ser>
          <c:idx val="3"/>
          <c:order val="3"/>
          <c:tx>
            <c:strRef>
              <c:f>'DSS | MOF &amp; Propylene'!$P$2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| MOF &amp; Propylene'!$P$5:$P$19</c:f>
              <c:numCache>
                <c:formatCode>General</c:formatCode>
                <c:ptCount val="15"/>
                <c:pt idx="0">
                  <c:v>1823.71</c:v>
                </c:pt>
                <c:pt idx="1">
                  <c:v>5471.12</c:v>
                </c:pt>
                <c:pt idx="2">
                  <c:v>9726.44</c:v>
                </c:pt>
                <c:pt idx="3">
                  <c:v>14893.6</c:v>
                </c:pt>
                <c:pt idx="4">
                  <c:v>19756.8</c:v>
                </c:pt>
                <c:pt idx="5">
                  <c:v>26747.7</c:v>
                </c:pt>
                <c:pt idx="6">
                  <c:v>35258.400000000001</c:v>
                </c:pt>
                <c:pt idx="7">
                  <c:v>40425.5</c:v>
                </c:pt>
                <c:pt idx="8">
                  <c:v>49848</c:v>
                </c:pt>
                <c:pt idx="9">
                  <c:v>59574.5</c:v>
                </c:pt>
                <c:pt idx="10">
                  <c:v>70820.7</c:v>
                </c:pt>
                <c:pt idx="11">
                  <c:v>80243.199999999997</c:v>
                </c:pt>
                <c:pt idx="12">
                  <c:v>92401.2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Propylene'!$R$5:$R$19</c:f>
              <c:numCache>
                <c:formatCode>0.0000</c:formatCode>
                <c:ptCount val="15"/>
                <c:pt idx="0">
                  <c:v>5.3832200000000002E-3</c:v>
                </c:pt>
                <c:pt idx="1">
                  <c:v>1.61496E-2</c:v>
                </c:pt>
                <c:pt idx="2">
                  <c:v>2.5555899999999999E-2</c:v>
                </c:pt>
                <c:pt idx="3">
                  <c:v>3.9005699999999997E-2</c:v>
                </c:pt>
                <c:pt idx="4">
                  <c:v>4.8403700000000001E-2</c:v>
                </c:pt>
                <c:pt idx="5">
                  <c:v>6.3180899999999998E-2</c:v>
                </c:pt>
                <c:pt idx="6">
                  <c:v>7.9289399999999996E-2</c:v>
                </c:pt>
                <c:pt idx="7">
                  <c:v>8.7331400000000003E-2</c:v>
                </c:pt>
                <c:pt idx="8">
                  <c:v>0.10342800000000001</c:v>
                </c:pt>
                <c:pt idx="9">
                  <c:v>0.115464</c:v>
                </c:pt>
                <c:pt idx="10">
                  <c:v>0.13153500000000001</c:v>
                </c:pt>
                <c:pt idx="11">
                  <c:v>0.140872</c:v>
                </c:pt>
                <c:pt idx="12">
                  <c:v>0.15152299999999999</c:v>
                </c:pt>
                <c:pt idx="13">
                  <c:v>0.15684100000000001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B7-492A-82B9-199D9DDF5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| MOF &amp; Propylene'!$D$2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Propylene'!$A$5:$A$19</c:f>
              <c:numCache>
                <c:formatCode>General</c:formatCode>
                <c:ptCount val="15"/>
                <c:pt idx="0">
                  <c:v>0</c:v>
                </c:pt>
                <c:pt idx="1">
                  <c:v>911.85400000000004</c:v>
                </c:pt>
                <c:pt idx="2">
                  <c:v>2735.56</c:v>
                </c:pt>
                <c:pt idx="3">
                  <c:v>5167.17</c:v>
                </c:pt>
                <c:pt idx="4">
                  <c:v>9422.49</c:v>
                </c:pt>
                <c:pt idx="5">
                  <c:v>13981.8</c:v>
                </c:pt>
                <c:pt idx="6">
                  <c:v>18845</c:v>
                </c:pt>
                <c:pt idx="7">
                  <c:v>25531.9</c:v>
                </c:pt>
                <c:pt idx="8">
                  <c:v>34346.5</c:v>
                </c:pt>
                <c:pt idx="9">
                  <c:v>40121.599999999999</c:v>
                </c:pt>
                <c:pt idx="10">
                  <c:v>52279.6</c:v>
                </c:pt>
                <c:pt idx="11">
                  <c:v>64133.7</c:v>
                </c:pt>
                <c:pt idx="12">
                  <c:v>75683.899999999994</c:v>
                </c:pt>
                <c:pt idx="13">
                  <c:v>87841.9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Propylene'!$D$5:$D$19</c:f>
              <c:numCache>
                <c:formatCode>0.0000</c:formatCode>
                <c:ptCount val="15"/>
                <c:pt idx="0">
                  <c:v>0</c:v>
                </c:pt>
                <c:pt idx="1">
                  <c:v>8.3944606425442173E-2</c:v>
                </c:pt>
                <c:pt idx="2">
                  <c:v>0.16437220027235286</c:v>
                </c:pt>
                <c:pt idx="3">
                  <c:v>0.21388793463870434</c:v>
                </c:pt>
                <c:pt idx="4">
                  <c:v>0.25505968053641648</c:v>
                </c:pt>
                <c:pt idx="5">
                  <c:v>0.27780319577849172</c:v>
                </c:pt>
                <c:pt idx="6">
                  <c:v>0.29252363157415534</c:v>
                </c:pt>
                <c:pt idx="7">
                  <c:v>0.3052594097873722</c:v>
                </c:pt>
                <c:pt idx="8">
                  <c:v>0.3155527165489741</c:v>
                </c:pt>
                <c:pt idx="9">
                  <c:v>0.32014024112815848</c:v>
                </c:pt>
                <c:pt idx="10">
                  <c:v>0.3267756265727178</c:v>
                </c:pt>
                <c:pt idx="11">
                  <c:v>0.33097835034439249</c:v>
                </c:pt>
                <c:pt idx="12">
                  <c:v>0.33386391062617299</c:v>
                </c:pt>
                <c:pt idx="13">
                  <c:v>0.33610628157792982</c:v>
                </c:pt>
                <c:pt idx="14">
                  <c:v>0.33773811920180768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CB7-492A-82B9-199D9DDF5A7B}"/>
            </c:ext>
          </c:extLst>
        </c:ser>
        <c:ser>
          <c:idx val="5"/>
          <c:order val="5"/>
          <c:tx>
            <c:strRef>
              <c:f>'DSS | MOF &amp; Propylene'!$I$2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Propylene'!$F$5:$F$19</c:f>
              <c:numCache>
                <c:formatCode>General</c:formatCode>
                <c:ptCount val="15"/>
                <c:pt idx="0">
                  <c:v>2431.61</c:v>
                </c:pt>
                <c:pt idx="1">
                  <c:v>4559.2700000000004</c:v>
                </c:pt>
                <c:pt idx="2">
                  <c:v>7902.74</c:v>
                </c:pt>
                <c:pt idx="3">
                  <c:v>12462</c:v>
                </c:pt>
                <c:pt idx="4">
                  <c:v>17629.2</c:v>
                </c:pt>
                <c:pt idx="5">
                  <c:v>23708.2</c:v>
                </c:pt>
                <c:pt idx="6">
                  <c:v>33434.699999999997</c:v>
                </c:pt>
                <c:pt idx="7">
                  <c:v>39817.599999999999</c:v>
                </c:pt>
                <c:pt idx="8">
                  <c:v>50759.9</c:v>
                </c:pt>
                <c:pt idx="9">
                  <c:v>59878.400000000001</c:v>
                </c:pt>
                <c:pt idx="10">
                  <c:v>70516.7</c:v>
                </c:pt>
                <c:pt idx="11">
                  <c:v>80243.199999999997</c:v>
                </c:pt>
                <c:pt idx="12">
                  <c:v>90577.5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Propylene'!$I$5:$I$19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CB7-492A-82B9-199D9DDF5A7B}"/>
            </c:ext>
          </c:extLst>
        </c:ser>
        <c:ser>
          <c:idx val="6"/>
          <c:order val="6"/>
          <c:tx>
            <c:strRef>
              <c:f>'DSS | MOF &amp; Propylene'!$N$2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Propylene'!$K$5:$K$19</c:f>
              <c:numCache>
                <c:formatCode>General</c:formatCode>
                <c:ptCount val="15"/>
                <c:pt idx="0">
                  <c:v>303.95100000000002</c:v>
                </c:pt>
                <c:pt idx="1">
                  <c:v>3039.51</c:v>
                </c:pt>
                <c:pt idx="2">
                  <c:v>6686.93</c:v>
                </c:pt>
                <c:pt idx="3">
                  <c:v>12766</c:v>
                </c:pt>
                <c:pt idx="4">
                  <c:v>19148.900000000001</c:v>
                </c:pt>
                <c:pt idx="5">
                  <c:v>27963.5</c:v>
                </c:pt>
                <c:pt idx="6">
                  <c:v>35258.400000000001</c:v>
                </c:pt>
                <c:pt idx="7">
                  <c:v>41033.4</c:v>
                </c:pt>
                <c:pt idx="8">
                  <c:v>47720.4</c:v>
                </c:pt>
                <c:pt idx="9">
                  <c:v>53495.4</c:v>
                </c:pt>
                <c:pt idx="10">
                  <c:v>60182.400000000001</c:v>
                </c:pt>
                <c:pt idx="11">
                  <c:v>69908.800000000003</c:v>
                </c:pt>
                <c:pt idx="12">
                  <c:v>79939.199999999997</c:v>
                </c:pt>
                <c:pt idx="13">
                  <c:v>90273.600000000006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Propylene'!$N$5:$N$19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CB7-492A-82B9-199D9DDF5A7B}"/>
            </c:ext>
          </c:extLst>
        </c:ser>
        <c:ser>
          <c:idx val="7"/>
          <c:order val="7"/>
          <c:tx>
            <c:strRef>
              <c:f>'DSS | MOF &amp; Propylene'!$S$2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Propylene'!$P$5:$P$19</c:f>
              <c:numCache>
                <c:formatCode>General</c:formatCode>
                <c:ptCount val="15"/>
                <c:pt idx="0">
                  <c:v>1823.71</c:v>
                </c:pt>
                <c:pt idx="1">
                  <c:v>5471.12</c:v>
                </c:pt>
                <c:pt idx="2">
                  <c:v>9726.44</c:v>
                </c:pt>
                <c:pt idx="3">
                  <c:v>14893.6</c:v>
                </c:pt>
                <c:pt idx="4">
                  <c:v>19756.8</c:v>
                </c:pt>
                <c:pt idx="5">
                  <c:v>26747.7</c:v>
                </c:pt>
                <c:pt idx="6">
                  <c:v>35258.400000000001</c:v>
                </c:pt>
                <c:pt idx="7">
                  <c:v>40425.5</c:v>
                </c:pt>
                <c:pt idx="8">
                  <c:v>49848</c:v>
                </c:pt>
                <c:pt idx="9">
                  <c:v>59574.5</c:v>
                </c:pt>
                <c:pt idx="10">
                  <c:v>70820.7</c:v>
                </c:pt>
                <c:pt idx="11">
                  <c:v>80243.199999999997</c:v>
                </c:pt>
                <c:pt idx="12">
                  <c:v>92401.2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Propylene'!$S$5:$S$19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CB7-492A-82B9-199D9DDF5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0669291338582"/>
          <c:y val="3.801039524451047E-2"/>
          <c:w val="0.59852165354330711"/>
          <c:h val="0.86838114998655047"/>
        </c:manualLayout>
      </c:layout>
      <c:scatterChart>
        <c:scatterStyle val="lineMarker"/>
        <c:varyColors val="0"/>
        <c:ser>
          <c:idx val="0"/>
          <c:order val="0"/>
          <c:tx>
            <c:strRef>
              <c:f>'Langmuir | Carb RB1 &amp; CO2'!$A$2</c:f>
              <c:strCache>
                <c:ptCount val="1"/>
                <c:pt idx="0">
                  <c:v> Exp | T = 294.5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'Langmuir | Carb RB1 &amp; CO2'!$A$5:$A$18</c:f>
              <c:numCache>
                <c:formatCode>General</c:formatCode>
                <c:ptCount val="14"/>
                <c:pt idx="0">
                  <c:v>50048.9</c:v>
                </c:pt>
                <c:pt idx="1">
                  <c:v>100254</c:v>
                </c:pt>
                <c:pt idx="2">
                  <c:v>147507</c:v>
                </c:pt>
                <c:pt idx="3">
                  <c:v>201018</c:v>
                </c:pt>
                <c:pt idx="4">
                  <c:v>245649</c:v>
                </c:pt>
                <c:pt idx="5">
                  <c:v>293980</c:v>
                </c:pt>
                <c:pt idx="6">
                  <c:v>347060</c:v>
                </c:pt>
                <c:pt idx="7">
                  <c:v>399607</c:v>
                </c:pt>
                <c:pt idx="8">
                  <c:v>449032</c:v>
                </c:pt>
                <c:pt idx="9">
                  <c:v>497408</c:v>
                </c:pt>
                <c:pt idx="10">
                  <c:v>548421</c:v>
                </c:pt>
                <c:pt idx="11">
                  <c:v>597349</c:v>
                </c:pt>
                <c:pt idx="12">
                  <c:v>650994</c:v>
                </c:pt>
                <c:pt idx="13">
                  <c:v>699930</c:v>
                </c:pt>
              </c:numCache>
            </c:numRef>
          </c:xVal>
          <c:yVal>
            <c:numRef>
              <c:f>'Langmuir | Carb RB1 &amp; CO2'!$C$5:$C$18</c:f>
              <c:numCache>
                <c:formatCode>0.0000</c:formatCode>
                <c:ptCount val="14"/>
                <c:pt idx="0">
                  <c:v>6.8276900000000001E-2</c:v>
                </c:pt>
                <c:pt idx="1">
                  <c:v>0.115702</c:v>
                </c:pt>
                <c:pt idx="2">
                  <c:v>0.135327</c:v>
                </c:pt>
                <c:pt idx="3">
                  <c:v>0.16309699999999999</c:v>
                </c:pt>
                <c:pt idx="4">
                  <c:v>0.181285</c:v>
                </c:pt>
                <c:pt idx="5">
                  <c:v>0.19755400000000001</c:v>
                </c:pt>
                <c:pt idx="6">
                  <c:v>0.21262200000000001</c:v>
                </c:pt>
                <c:pt idx="7">
                  <c:v>0.22864899999999999</c:v>
                </c:pt>
                <c:pt idx="8">
                  <c:v>0.23940400000000001</c:v>
                </c:pt>
                <c:pt idx="9">
                  <c:v>0.24968099999999999</c:v>
                </c:pt>
                <c:pt idx="10">
                  <c:v>0.25947700000000001</c:v>
                </c:pt>
                <c:pt idx="11">
                  <c:v>0.26639800000000002</c:v>
                </c:pt>
                <c:pt idx="12">
                  <c:v>0.27643299999999998</c:v>
                </c:pt>
                <c:pt idx="13">
                  <c:v>0.28215499999999999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8-4A11-9D46-ED298F6C9F1B}"/>
            </c:ext>
          </c:extLst>
        </c:ser>
        <c:ser>
          <c:idx val="1"/>
          <c:order val="1"/>
          <c:tx>
            <c:strRef>
              <c:f>'Langmuir | Carb RB1 &amp; CO2'!$F$2</c:f>
              <c:strCache>
                <c:ptCount val="1"/>
                <c:pt idx="0">
                  <c:v> Exp | T = 303.1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'Langmuir | Carb RB1 &amp; CO2'!$F$5:$F$18</c:f>
              <c:numCache>
                <c:formatCode>General</c:formatCode>
                <c:ptCount val="14"/>
                <c:pt idx="0">
                  <c:v>52256</c:v>
                </c:pt>
                <c:pt idx="1">
                  <c:v>99412</c:v>
                </c:pt>
                <c:pt idx="2">
                  <c:v>147607</c:v>
                </c:pt>
                <c:pt idx="3">
                  <c:v>200623</c:v>
                </c:pt>
                <c:pt idx="4">
                  <c:v>247356</c:v>
                </c:pt>
                <c:pt idx="5">
                  <c:v>294161</c:v>
                </c:pt>
                <c:pt idx="6">
                  <c:v>346175</c:v>
                </c:pt>
                <c:pt idx="7">
                  <c:v>399797</c:v>
                </c:pt>
                <c:pt idx="8">
                  <c:v>449238</c:v>
                </c:pt>
                <c:pt idx="9">
                  <c:v>498145</c:v>
                </c:pt>
                <c:pt idx="10">
                  <c:v>548628</c:v>
                </c:pt>
                <c:pt idx="11">
                  <c:v>597557</c:v>
                </c:pt>
                <c:pt idx="12">
                  <c:v>650118</c:v>
                </c:pt>
                <c:pt idx="13">
                  <c:v>700647</c:v>
                </c:pt>
              </c:numCache>
            </c:numRef>
          </c:xVal>
          <c:yVal>
            <c:numRef>
              <c:f>'Langmuir | Carb RB1 &amp; CO2'!$H$5:$H$18</c:f>
              <c:numCache>
                <c:formatCode>0.0000</c:formatCode>
                <c:ptCount val="14"/>
                <c:pt idx="0">
                  <c:v>5.4853899999999997E-2</c:v>
                </c:pt>
                <c:pt idx="1">
                  <c:v>8.7421200000000004E-2</c:v>
                </c:pt>
                <c:pt idx="2">
                  <c:v>0.121905</c:v>
                </c:pt>
                <c:pt idx="3">
                  <c:v>0.14560100000000001</c:v>
                </c:pt>
                <c:pt idx="4">
                  <c:v>0.164268</c:v>
                </c:pt>
                <c:pt idx="5">
                  <c:v>0.173347</c:v>
                </c:pt>
                <c:pt idx="6">
                  <c:v>0.19009300000000001</c:v>
                </c:pt>
                <c:pt idx="7">
                  <c:v>0.20324300000000001</c:v>
                </c:pt>
                <c:pt idx="8">
                  <c:v>0.211842</c:v>
                </c:pt>
                <c:pt idx="9">
                  <c:v>0.221639</c:v>
                </c:pt>
                <c:pt idx="10">
                  <c:v>0.23191500000000001</c:v>
                </c:pt>
                <c:pt idx="11">
                  <c:v>0.238596</c:v>
                </c:pt>
                <c:pt idx="12">
                  <c:v>0.25270500000000001</c:v>
                </c:pt>
                <c:pt idx="13">
                  <c:v>0.25674999999999998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08-4A11-9D46-ED298F6C9F1B}"/>
            </c:ext>
          </c:extLst>
        </c:ser>
        <c:ser>
          <c:idx val="2"/>
          <c:order val="2"/>
          <c:tx>
            <c:strRef>
              <c:f>'Langmuir | Carb RB1 &amp; CO2'!$K$2</c:f>
              <c:strCache>
                <c:ptCount val="1"/>
                <c:pt idx="0">
                  <c:v> Exp | T = 329.9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'Langmuir | Carb RB1 &amp; CO2'!$K$5:$K$18</c:f>
              <c:numCache>
                <c:formatCode>General</c:formatCode>
                <c:ptCount val="14"/>
                <c:pt idx="0">
                  <c:v>51346</c:v>
                </c:pt>
                <c:pt idx="1">
                  <c:v>100159</c:v>
                </c:pt>
                <c:pt idx="2">
                  <c:v>146355</c:v>
                </c:pt>
                <c:pt idx="3">
                  <c:v>201544</c:v>
                </c:pt>
                <c:pt idx="4">
                  <c:v>247781</c:v>
                </c:pt>
                <c:pt idx="5">
                  <c:v>294568</c:v>
                </c:pt>
                <c:pt idx="6">
                  <c:v>346086</c:v>
                </c:pt>
                <c:pt idx="7">
                  <c:v>399731</c:v>
                </c:pt>
                <c:pt idx="8">
                  <c:v>448642</c:v>
                </c:pt>
                <c:pt idx="9">
                  <c:v>498616</c:v>
                </c:pt>
                <c:pt idx="10">
                  <c:v>549644</c:v>
                </c:pt>
                <c:pt idx="11">
                  <c:v>599614</c:v>
                </c:pt>
                <c:pt idx="12">
                  <c:v>651170</c:v>
                </c:pt>
                <c:pt idx="13">
                  <c:v>699574</c:v>
                </c:pt>
              </c:numCache>
            </c:numRef>
          </c:xVal>
          <c:yVal>
            <c:numRef>
              <c:f>'Langmuir | Carb RB1 &amp; CO2'!$M$5:$M$18</c:f>
              <c:numCache>
                <c:formatCode>0.0000</c:formatCode>
                <c:ptCount val="14"/>
                <c:pt idx="0">
                  <c:v>3.5680499999999997E-2</c:v>
                </c:pt>
                <c:pt idx="1">
                  <c:v>5.7940899999999997E-2</c:v>
                </c:pt>
                <c:pt idx="2">
                  <c:v>7.8045799999999999E-2</c:v>
                </c:pt>
                <c:pt idx="3">
                  <c:v>9.2872499999999997E-2</c:v>
                </c:pt>
                <c:pt idx="4">
                  <c:v>0.107465</c:v>
                </c:pt>
                <c:pt idx="5">
                  <c:v>0.11894100000000001</c:v>
                </c:pt>
                <c:pt idx="6">
                  <c:v>0.13161300000000001</c:v>
                </c:pt>
                <c:pt idx="7">
                  <c:v>0.141647</c:v>
                </c:pt>
                <c:pt idx="8">
                  <c:v>0.150725</c:v>
                </c:pt>
                <c:pt idx="9">
                  <c:v>0.158605</c:v>
                </c:pt>
                <c:pt idx="10">
                  <c:v>0.16648299999999999</c:v>
                </c:pt>
                <c:pt idx="11">
                  <c:v>0.174842</c:v>
                </c:pt>
                <c:pt idx="12">
                  <c:v>0.182481</c:v>
                </c:pt>
                <c:pt idx="13">
                  <c:v>0.18892300000000001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08-4A11-9D46-ED298F6C9F1B}"/>
            </c:ext>
          </c:extLst>
        </c:ser>
        <c:ser>
          <c:idx val="3"/>
          <c:order val="3"/>
          <c:tx>
            <c:strRef>
              <c:f>'Langmuir | Carb RB1 &amp; CO2'!$P$2</c:f>
              <c:strCache>
                <c:ptCount val="1"/>
                <c:pt idx="0">
                  <c:v> Exp | T = 348.3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'Langmuir | Carb RB1 &amp; CO2'!$P$5:$P$18</c:f>
              <c:numCache>
                <c:formatCode>General</c:formatCode>
                <c:ptCount val="14"/>
                <c:pt idx="0">
                  <c:v>51428.5</c:v>
                </c:pt>
                <c:pt idx="1">
                  <c:v>101342</c:v>
                </c:pt>
                <c:pt idx="2">
                  <c:v>147047</c:v>
                </c:pt>
                <c:pt idx="3">
                  <c:v>201712</c:v>
                </c:pt>
                <c:pt idx="4">
                  <c:v>247453</c:v>
                </c:pt>
                <c:pt idx="5">
                  <c:v>295310</c:v>
                </c:pt>
                <c:pt idx="6">
                  <c:v>348433</c:v>
                </c:pt>
                <c:pt idx="7">
                  <c:v>401033</c:v>
                </c:pt>
                <c:pt idx="8">
                  <c:v>450477</c:v>
                </c:pt>
                <c:pt idx="9">
                  <c:v>497821</c:v>
                </c:pt>
                <c:pt idx="10">
                  <c:v>548848</c:v>
                </c:pt>
                <c:pt idx="11">
                  <c:v>599879</c:v>
                </c:pt>
                <c:pt idx="12">
                  <c:v>651444</c:v>
                </c:pt>
                <c:pt idx="13">
                  <c:v>701434</c:v>
                </c:pt>
              </c:numCache>
            </c:numRef>
          </c:xVal>
          <c:yVal>
            <c:numRef>
              <c:f>'Langmuir | Carb RB1 &amp; CO2'!$R$5:$R$18</c:f>
              <c:numCache>
                <c:formatCode>0.0000</c:formatCode>
                <c:ptCount val="14"/>
                <c:pt idx="0">
                  <c:v>2.46555E-2</c:v>
                </c:pt>
                <c:pt idx="1">
                  <c:v>4.0683700000000003E-2</c:v>
                </c:pt>
                <c:pt idx="2">
                  <c:v>5.5995400000000001E-2</c:v>
                </c:pt>
                <c:pt idx="3">
                  <c:v>7.0343100000000006E-2</c:v>
                </c:pt>
                <c:pt idx="4">
                  <c:v>8.0861299999999997E-2</c:v>
                </c:pt>
                <c:pt idx="5">
                  <c:v>9.0179899999999993E-2</c:v>
                </c:pt>
                <c:pt idx="6">
                  <c:v>9.9495299999999995E-2</c:v>
                </c:pt>
                <c:pt idx="7">
                  <c:v>0.108332</c:v>
                </c:pt>
                <c:pt idx="8">
                  <c:v>0.116691</c:v>
                </c:pt>
                <c:pt idx="9">
                  <c:v>0.12409199999999999</c:v>
                </c:pt>
                <c:pt idx="10">
                  <c:v>0.131971</c:v>
                </c:pt>
                <c:pt idx="11">
                  <c:v>0.13936999999999999</c:v>
                </c:pt>
                <c:pt idx="12">
                  <c:v>0.14581</c:v>
                </c:pt>
                <c:pt idx="13">
                  <c:v>0.151533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08-4A11-9D46-ED298F6C9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'Langmuir | Carb RB1 &amp; CO2'!$D$2</c:f>
              <c:strCache>
                <c:ptCount val="1"/>
                <c:pt idx="0">
                  <c:v>Fit  | T = 294.5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CO2'!$A$5:$A$18</c:f>
              <c:numCache>
                <c:formatCode>General</c:formatCode>
                <c:ptCount val="14"/>
                <c:pt idx="0">
                  <c:v>50048.9</c:v>
                </c:pt>
                <c:pt idx="1">
                  <c:v>100254</c:v>
                </c:pt>
                <c:pt idx="2">
                  <c:v>147507</c:v>
                </c:pt>
                <c:pt idx="3">
                  <c:v>201018</c:v>
                </c:pt>
                <c:pt idx="4">
                  <c:v>245649</c:v>
                </c:pt>
                <c:pt idx="5">
                  <c:v>293980</c:v>
                </c:pt>
                <c:pt idx="6">
                  <c:v>347060</c:v>
                </c:pt>
                <c:pt idx="7">
                  <c:v>399607</c:v>
                </c:pt>
                <c:pt idx="8">
                  <c:v>449032</c:v>
                </c:pt>
                <c:pt idx="9">
                  <c:v>497408</c:v>
                </c:pt>
                <c:pt idx="10">
                  <c:v>548421</c:v>
                </c:pt>
                <c:pt idx="11">
                  <c:v>597349</c:v>
                </c:pt>
                <c:pt idx="12">
                  <c:v>650994</c:v>
                </c:pt>
                <c:pt idx="13">
                  <c:v>699930</c:v>
                </c:pt>
              </c:numCache>
            </c:numRef>
          </c:xVal>
          <c:yVal>
            <c:numRef>
              <c:f>'Langmuir | Carb RB1 &amp; CO2'!$D$5:$D$18</c:f>
              <c:numCache>
                <c:formatCode>0.0000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16-4F31-B9E7-A3CAB2CC313D}"/>
            </c:ext>
          </c:extLst>
        </c:ser>
        <c:ser>
          <c:idx val="5"/>
          <c:order val="5"/>
          <c:tx>
            <c:strRef>
              <c:f>'Langmuir | Carb RB1 &amp; CO2'!$I$2</c:f>
              <c:strCache>
                <c:ptCount val="1"/>
                <c:pt idx="0">
                  <c:v>Fit  | T = 303.1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CO2'!$F$5:$F$18</c:f>
              <c:numCache>
                <c:formatCode>General</c:formatCode>
                <c:ptCount val="14"/>
                <c:pt idx="0">
                  <c:v>52256</c:v>
                </c:pt>
                <c:pt idx="1">
                  <c:v>99412</c:v>
                </c:pt>
                <c:pt idx="2">
                  <c:v>147607</c:v>
                </c:pt>
                <c:pt idx="3">
                  <c:v>200623</c:v>
                </c:pt>
                <c:pt idx="4">
                  <c:v>247356</c:v>
                </c:pt>
                <c:pt idx="5">
                  <c:v>294161</c:v>
                </c:pt>
                <c:pt idx="6">
                  <c:v>346175</c:v>
                </c:pt>
                <c:pt idx="7">
                  <c:v>399797</c:v>
                </c:pt>
                <c:pt idx="8">
                  <c:v>449238</c:v>
                </c:pt>
                <c:pt idx="9">
                  <c:v>498145</c:v>
                </c:pt>
                <c:pt idx="10">
                  <c:v>548628</c:v>
                </c:pt>
                <c:pt idx="11">
                  <c:v>597557</c:v>
                </c:pt>
                <c:pt idx="12">
                  <c:v>650118</c:v>
                </c:pt>
                <c:pt idx="13">
                  <c:v>700647</c:v>
                </c:pt>
              </c:numCache>
            </c:numRef>
          </c:xVal>
          <c:yVal>
            <c:numRef>
              <c:f>'Langmuir | Carb RB1 &amp; CO2'!$I$5:$I$18</c:f>
              <c:numCache>
                <c:formatCode>0.0000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16-4F31-B9E7-A3CAB2CC313D}"/>
            </c:ext>
          </c:extLst>
        </c:ser>
        <c:ser>
          <c:idx val="6"/>
          <c:order val="6"/>
          <c:tx>
            <c:strRef>
              <c:f>'Langmuir | Carb RB1 &amp; CO2'!$N$2</c:f>
              <c:strCache>
                <c:ptCount val="1"/>
                <c:pt idx="0">
                  <c:v>Fit  | T = 329.9 K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CO2'!$K$5:$K$18</c:f>
              <c:numCache>
                <c:formatCode>General</c:formatCode>
                <c:ptCount val="14"/>
                <c:pt idx="0">
                  <c:v>51346</c:v>
                </c:pt>
                <c:pt idx="1">
                  <c:v>100159</c:v>
                </c:pt>
                <c:pt idx="2">
                  <c:v>146355</c:v>
                </c:pt>
                <c:pt idx="3">
                  <c:v>201544</c:v>
                </c:pt>
                <c:pt idx="4">
                  <c:v>247781</c:v>
                </c:pt>
                <c:pt idx="5">
                  <c:v>294568</c:v>
                </c:pt>
                <c:pt idx="6">
                  <c:v>346086</c:v>
                </c:pt>
                <c:pt idx="7">
                  <c:v>399731</c:v>
                </c:pt>
                <c:pt idx="8">
                  <c:v>448642</c:v>
                </c:pt>
                <c:pt idx="9">
                  <c:v>498616</c:v>
                </c:pt>
                <c:pt idx="10">
                  <c:v>549644</c:v>
                </c:pt>
                <c:pt idx="11">
                  <c:v>599614</c:v>
                </c:pt>
                <c:pt idx="12">
                  <c:v>651170</c:v>
                </c:pt>
                <c:pt idx="13">
                  <c:v>699574</c:v>
                </c:pt>
              </c:numCache>
            </c:numRef>
          </c:xVal>
          <c:yVal>
            <c:numRef>
              <c:f>'Langmuir | Carb RB1 &amp; CO2'!$N$5:$N$18</c:f>
              <c:numCache>
                <c:formatCode>0.0000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16-4F31-B9E7-A3CAB2CC313D}"/>
            </c:ext>
          </c:extLst>
        </c:ser>
        <c:ser>
          <c:idx val="7"/>
          <c:order val="7"/>
          <c:tx>
            <c:strRef>
              <c:f>'Langmuir | Carb RB1 &amp; CO2'!$S$2</c:f>
              <c:strCache>
                <c:ptCount val="1"/>
                <c:pt idx="0">
                  <c:v>Fit  | T = 348.3 K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CO2'!$P$5:$P$18</c:f>
              <c:numCache>
                <c:formatCode>General</c:formatCode>
                <c:ptCount val="14"/>
                <c:pt idx="0">
                  <c:v>51428.5</c:v>
                </c:pt>
                <c:pt idx="1">
                  <c:v>101342</c:v>
                </c:pt>
                <c:pt idx="2">
                  <c:v>147047</c:v>
                </c:pt>
                <c:pt idx="3">
                  <c:v>201712</c:v>
                </c:pt>
                <c:pt idx="4">
                  <c:v>247453</c:v>
                </c:pt>
                <c:pt idx="5">
                  <c:v>295310</c:v>
                </c:pt>
                <c:pt idx="6">
                  <c:v>348433</c:v>
                </c:pt>
                <c:pt idx="7">
                  <c:v>401033</c:v>
                </c:pt>
                <c:pt idx="8">
                  <c:v>450477</c:v>
                </c:pt>
                <c:pt idx="9">
                  <c:v>497821</c:v>
                </c:pt>
                <c:pt idx="10">
                  <c:v>548848</c:v>
                </c:pt>
                <c:pt idx="11">
                  <c:v>599879</c:v>
                </c:pt>
                <c:pt idx="12">
                  <c:v>651444</c:v>
                </c:pt>
                <c:pt idx="13">
                  <c:v>701434</c:v>
                </c:pt>
              </c:numCache>
            </c:numRef>
          </c:xVal>
          <c:yVal>
            <c:numRef>
              <c:f>'Langmuir | Carb RB1 &amp; CO2'!$S$5:$S$18</c:f>
              <c:numCache>
                <c:formatCode>0.0000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16-4F31-B9E7-A3CAB2CC3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0669291338582"/>
          <c:y val="3.801039524451047E-2"/>
          <c:w val="0.59852165354330711"/>
          <c:h val="0.86838114998655047"/>
        </c:manualLayout>
      </c:layout>
      <c:scatterChart>
        <c:scatterStyle val="lineMarker"/>
        <c:varyColors val="0"/>
        <c:ser>
          <c:idx val="0"/>
          <c:order val="0"/>
          <c:tx>
            <c:strRef>
              <c:f>'Langmuir | Carb RB1 &amp; CH4'!$A$2</c:f>
              <c:strCache>
                <c:ptCount val="1"/>
                <c:pt idx="0">
                  <c:v> Exp | T = 294.5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'Langmuir | Carb RB1 &amp; CH4'!$A$5:$A$18</c:f>
              <c:numCache>
                <c:formatCode>General</c:formatCode>
                <c:ptCount val="14"/>
                <c:pt idx="0">
                  <c:v>44955.8</c:v>
                </c:pt>
                <c:pt idx="1">
                  <c:v>97655.7</c:v>
                </c:pt>
                <c:pt idx="2">
                  <c:v>150405</c:v>
                </c:pt>
                <c:pt idx="3">
                  <c:v>195650</c:v>
                </c:pt>
                <c:pt idx="4">
                  <c:v>248481</c:v>
                </c:pt>
                <c:pt idx="5">
                  <c:v>293775</c:v>
                </c:pt>
                <c:pt idx="6">
                  <c:v>344125</c:v>
                </c:pt>
                <c:pt idx="7">
                  <c:v>391959</c:v>
                </c:pt>
                <c:pt idx="8">
                  <c:v>444849</c:v>
                </c:pt>
                <c:pt idx="9">
                  <c:v>495223</c:v>
                </c:pt>
                <c:pt idx="10">
                  <c:v>548137</c:v>
                </c:pt>
                <c:pt idx="11">
                  <c:v>598520</c:v>
                </c:pt>
                <c:pt idx="12">
                  <c:v>648927</c:v>
                </c:pt>
                <c:pt idx="13">
                  <c:v>699326</c:v>
                </c:pt>
              </c:numCache>
            </c:numRef>
          </c:xVal>
          <c:yVal>
            <c:numRef>
              <c:f>'Langmuir | Carb RB1 &amp; CH4'!$C$5:$C$18</c:f>
              <c:numCache>
                <c:formatCode>0.0000</c:formatCode>
                <c:ptCount val="14"/>
                <c:pt idx="0">
                  <c:v>1.1921599999999999E-2</c:v>
                </c:pt>
                <c:pt idx="1">
                  <c:v>1.9451E-2</c:v>
                </c:pt>
                <c:pt idx="2">
                  <c:v>2.5725499999999998E-2</c:v>
                </c:pt>
                <c:pt idx="3">
                  <c:v>3.0326800000000001E-2</c:v>
                </c:pt>
                <c:pt idx="4">
                  <c:v>3.45098E-2</c:v>
                </c:pt>
                <c:pt idx="5">
                  <c:v>3.78562E-2</c:v>
                </c:pt>
                <c:pt idx="6">
                  <c:v>4.0993500000000002E-2</c:v>
                </c:pt>
                <c:pt idx="7">
                  <c:v>4.3921599999999998E-2</c:v>
                </c:pt>
                <c:pt idx="8">
                  <c:v>4.6640500000000001E-2</c:v>
                </c:pt>
                <c:pt idx="9">
                  <c:v>4.9150300000000001E-2</c:v>
                </c:pt>
                <c:pt idx="10">
                  <c:v>5.1241799999999997E-2</c:v>
                </c:pt>
                <c:pt idx="11">
                  <c:v>5.35425E-2</c:v>
                </c:pt>
                <c:pt idx="12">
                  <c:v>5.52157E-2</c:v>
                </c:pt>
                <c:pt idx="13">
                  <c:v>5.7098000000000003E-2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3-4841-8453-923C812090D8}"/>
            </c:ext>
          </c:extLst>
        </c:ser>
        <c:ser>
          <c:idx val="1"/>
          <c:order val="1"/>
          <c:tx>
            <c:strRef>
              <c:f>'Langmuir | Carb RB1 &amp; CH4'!$F$2</c:f>
              <c:strCache>
                <c:ptCount val="1"/>
                <c:pt idx="0">
                  <c:v> Exp | T = 303.1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'Langmuir | Carb RB1 &amp; CH4'!$F$5:$F$18</c:f>
              <c:numCache>
                <c:formatCode>General</c:formatCode>
                <c:ptCount val="14"/>
                <c:pt idx="0">
                  <c:v>50093.8</c:v>
                </c:pt>
                <c:pt idx="1">
                  <c:v>97771.199999999997</c:v>
                </c:pt>
                <c:pt idx="2">
                  <c:v>150554</c:v>
                </c:pt>
                <c:pt idx="3">
                  <c:v>193274</c:v>
                </c:pt>
                <c:pt idx="4">
                  <c:v>251145</c:v>
                </c:pt>
                <c:pt idx="5">
                  <c:v>293940</c:v>
                </c:pt>
                <c:pt idx="6">
                  <c:v>344298</c:v>
                </c:pt>
                <c:pt idx="7">
                  <c:v>392124</c:v>
                </c:pt>
                <c:pt idx="8">
                  <c:v>445022</c:v>
                </c:pt>
                <c:pt idx="9">
                  <c:v>495412</c:v>
                </c:pt>
                <c:pt idx="10">
                  <c:v>545820</c:v>
                </c:pt>
                <c:pt idx="11">
                  <c:v>601266</c:v>
                </c:pt>
                <c:pt idx="12">
                  <c:v>649150</c:v>
                </c:pt>
                <c:pt idx="13">
                  <c:v>697033</c:v>
                </c:pt>
              </c:numCache>
            </c:numRef>
          </c:xVal>
          <c:yVal>
            <c:numRef>
              <c:f>'Langmuir | Carb RB1 &amp; CH4'!$H$5:$H$18</c:f>
              <c:numCache>
                <c:formatCode>0.0000</c:formatCode>
                <c:ptCount val="14"/>
                <c:pt idx="0">
                  <c:v>9.6209199999999998E-3</c:v>
                </c:pt>
                <c:pt idx="1">
                  <c:v>1.65229E-2</c:v>
                </c:pt>
                <c:pt idx="2">
                  <c:v>2.1960799999999999E-2</c:v>
                </c:pt>
                <c:pt idx="3">
                  <c:v>2.6562100000000002E-2</c:v>
                </c:pt>
                <c:pt idx="4">
                  <c:v>3.0954200000000001E-2</c:v>
                </c:pt>
                <c:pt idx="5">
                  <c:v>3.36732E-2</c:v>
                </c:pt>
                <c:pt idx="6">
                  <c:v>3.6601300000000003E-2</c:v>
                </c:pt>
                <c:pt idx="7">
                  <c:v>3.9738599999999999E-2</c:v>
                </c:pt>
                <c:pt idx="8">
                  <c:v>4.2248399999999998E-2</c:v>
                </c:pt>
                <c:pt idx="9">
                  <c:v>4.4339900000000002E-2</c:v>
                </c:pt>
                <c:pt idx="10">
                  <c:v>4.6013100000000001E-2</c:v>
                </c:pt>
                <c:pt idx="11">
                  <c:v>4.7895399999999998E-2</c:v>
                </c:pt>
                <c:pt idx="12">
                  <c:v>4.9568599999999997E-2</c:v>
                </c:pt>
                <c:pt idx="13">
                  <c:v>5.1241799999999997E-2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A3-4841-8453-923C812090D8}"/>
            </c:ext>
          </c:extLst>
        </c:ser>
        <c:ser>
          <c:idx val="2"/>
          <c:order val="2"/>
          <c:tx>
            <c:strRef>
              <c:f>'Langmuir | Carb RB1 &amp; CH4'!$K$2</c:f>
              <c:strCache>
                <c:ptCount val="1"/>
                <c:pt idx="0">
                  <c:v> Exp | T = 329.9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'Langmuir | Carb RB1 &amp; CH4'!$K$5:$K$18</c:f>
              <c:numCache>
                <c:formatCode>General</c:formatCode>
                <c:ptCount val="14"/>
                <c:pt idx="0">
                  <c:v>45162</c:v>
                </c:pt>
                <c:pt idx="1">
                  <c:v>100501</c:v>
                </c:pt>
                <c:pt idx="2">
                  <c:v>150850</c:v>
                </c:pt>
                <c:pt idx="3">
                  <c:v>193621</c:v>
                </c:pt>
                <c:pt idx="4">
                  <c:v>249018</c:v>
                </c:pt>
                <c:pt idx="5">
                  <c:v>291829</c:v>
                </c:pt>
                <c:pt idx="6">
                  <c:v>344727</c:v>
                </c:pt>
                <c:pt idx="7">
                  <c:v>392586</c:v>
                </c:pt>
                <c:pt idx="8">
                  <c:v>445492</c:v>
                </c:pt>
                <c:pt idx="9">
                  <c:v>495883</c:v>
                </c:pt>
                <c:pt idx="10">
                  <c:v>546290</c:v>
                </c:pt>
                <c:pt idx="11">
                  <c:v>601744</c:v>
                </c:pt>
                <c:pt idx="12">
                  <c:v>649653</c:v>
                </c:pt>
                <c:pt idx="13">
                  <c:v>700060</c:v>
                </c:pt>
              </c:numCache>
            </c:numRef>
          </c:xVal>
          <c:yVal>
            <c:numRef>
              <c:f>'Langmuir | Carb RB1 &amp; CH4'!$M$5:$M$18</c:f>
              <c:numCache>
                <c:formatCode>0.0000</c:formatCode>
                <c:ptCount val="14"/>
                <c:pt idx="0">
                  <c:v>6.6928100000000004E-3</c:v>
                </c:pt>
                <c:pt idx="1">
                  <c:v>1.12941E-2</c:v>
                </c:pt>
                <c:pt idx="2">
                  <c:v>1.44314E-2</c:v>
                </c:pt>
                <c:pt idx="3">
                  <c:v>1.77778E-2</c:v>
                </c:pt>
                <c:pt idx="4">
                  <c:v>2.0915E-2</c:v>
                </c:pt>
                <c:pt idx="5">
                  <c:v>2.3215699999999999E-2</c:v>
                </c:pt>
                <c:pt idx="6">
                  <c:v>2.5725499999999998E-2</c:v>
                </c:pt>
                <c:pt idx="7">
                  <c:v>2.8026100000000002E-2</c:v>
                </c:pt>
                <c:pt idx="8">
                  <c:v>3.0326800000000001E-2</c:v>
                </c:pt>
                <c:pt idx="9">
                  <c:v>3.2418299999999997E-2</c:v>
                </c:pt>
                <c:pt idx="10">
                  <c:v>3.4091499999999997E-2</c:v>
                </c:pt>
                <c:pt idx="11">
                  <c:v>3.5764700000000003E-2</c:v>
                </c:pt>
                <c:pt idx="12">
                  <c:v>3.6810500000000003E-2</c:v>
                </c:pt>
                <c:pt idx="13">
                  <c:v>3.8483700000000003E-2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A3-4841-8453-923C812090D8}"/>
            </c:ext>
          </c:extLst>
        </c:ser>
        <c:ser>
          <c:idx val="3"/>
          <c:order val="3"/>
          <c:tx>
            <c:strRef>
              <c:f>'Langmuir | Carb RB1 &amp; CH4'!$P$2</c:f>
              <c:strCache>
                <c:ptCount val="1"/>
                <c:pt idx="0">
                  <c:v> Exp | T = 348.3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'Langmuir | Carb RB1 &amp; CH4'!$P$5:$P$18</c:f>
              <c:numCache>
                <c:formatCode>General</c:formatCode>
                <c:ptCount val="14"/>
                <c:pt idx="0">
                  <c:v>47817.599999999999</c:v>
                </c:pt>
                <c:pt idx="1">
                  <c:v>100666</c:v>
                </c:pt>
                <c:pt idx="2">
                  <c:v>151024</c:v>
                </c:pt>
                <c:pt idx="3">
                  <c:v>193810</c:v>
                </c:pt>
                <c:pt idx="4">
                  <c:v>249248</c:v>
                </c:pt>
                <c:pt idx="5">
                  <c:v>292052</c:v>
                </c:pt>
                <c:pt idx="6">
                  <c:v>344983</c:v>
                </c:pt>
                <c:pt idx="7">
                  <c:v>392850</c:v>
                </c:pt>
                <c:pt idx="8">
                  <c:v>445764</c:v>
                </c:pt>
                <c:pt idx="9">
                  <c:v>496171</c:v>
                </c:pt>
                <c:pt idx="10">
                  <c:v>546587</c:v>
                </c:pt>
                <c:pt idx="11">
                  <c:v>599518</c:v>
                </c:pt>
                <c:pt idx="12">
                  <c:v>649941</c:v>
                </c:pt>
                <c:pt idx="13">
                  <c:v>700365</c:v>
                </c:pt>
              </c:numCache>
            </c:numRef>
          </c:xVal>
          <c:yVal>
            <c:numRef>
              <c:f>'Langmuir | Carb RB1 &amp; CH4'!$R$5:$R$18</c:f>
              <c:numCache>
                <c:formatCode>0.0000</c:formatCode>
                <c:ptCount val="14"/>
                <c:pt idx="0">
                  <c:v>3.3464100000000002E-3</c:v>
                </c:pt>
                <c:pt idx="1">
                  <c:v>7.1111100000000003E-3</c:v>
                </c:pt>
                <c:pt idx="2">
                  <c:v>1.00392E-2</c:v>
                </c:pt>
                <c:pt idx="3">
                  <c:v>1.2967299999999999E-2</c:v>
                </c:pt>
                <c:pt idx="4">
                  <c:v>1.5058800000000001E-2</c:v>
                </c:pt>
                <c:pt idx="5">
                  <c:v>1.75686E-2</c:v>
                </c:pt>
                <c:pt idx="6">
                  <c:v>1.92418E-2</c:v>
                </c:pt>
                <c:pt idx="7">
                  <c:v>2.1333299999999999E-2</c:v>
                </c:pt>
                <c:pt idx="8">
                  <c:v>2.3424799999999999E-2</c:v>
                </c:pt>
                <c:pt idx="9">
                  <c:v>2.5097999999999999E-2</c:v>
                </c:pt>
                <c:pt idx="10">
                  <c:v>2.6562100000000002E-2</c:v>
                </c:pt>
                <c:pt idx="11">
                  <c:v>2.8235300000000001E-2</c:v>
                </c:pt>
                <c:pt idx="12">
                  <c:v>2.9490200000000001E-2</c:v>
                </c:pt>
                <c:pt idx="13">
                  <c:v>3.0745100000000001E-2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A3-4841-8453-923C8120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'Langmuir | Carb RB1 &amp; CH4'!$D$2</c:f>
              <c:strCache>
                <c:ptCount val="1"/>
                <c:pt idx="0">
                  <c:v>Fit  | T = 294.5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CH4'!$A$5:$A$18</c:f>
              <c:numCache>
                <c:formatCode>General</c:formatCode>
                <c:ptCount val="14"/>
                <c:pt idx="0">
                  <c:v>44955.8</c:v>
                </c:pt>
                <c:pt idx="1">
                  <c:v>97655.7</c:v>
                </c:pt>
                <c:pt idx="2">
                  <c:v>150405</c:v>
                </c:pt>
                <c:pt idx="3">
                  <c:v>195650</c:v>
                </c:pt>
                <c:pt idx="4">
                  <c:v>248481</c:v>
                </c:pt>
                <c:pt idx="5">
                  <c:v>293775</c:v>
                </c:pt>
                <c:pt idx="6">
                  <c:v>344125</c:v>
                </c:pt>
                <c:pt idx="7">
                  <c:v>391959</c:v>
                </c:pt>
                <c:pt idx="8">
                  <c:v>444849</c:v>
                </c:pt>
                <c:pt idx="9">
                  <c:v>495223</c:v>
                </c:pt>
                <c:pt idx="10">
                  <c:v>548137</c:v>
                </c:pt>
                <c:pt idx="11">
                  <c:v>598520</c:v>
                </c:pt>
                <c:pt idx="12">
                  <c:v>648927</c:v>
                </c:pt>
                <c:pt idx="13">
                  <c:v>699326</c:v>
                </c:pt>
              </c:numCache>
            </c:numRef>
          </c:xVal>
          <c:yVal>
            <c:numRef>
              <c:f>'Langmuir | Carb RB1 &amp; CH4'!$D$5:$D$18</c:f>
              <c:numCache>
                <c:formatCode>0.0000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A3-4841-8453-923C812090D8}"/>
            </c:ext>
          </c:extLst>
        </c:ser>
        <c:ser>
          <c:idx val="5"/>
          <c:order val="5"/>
          <c:tx>
            <c:strRef>
              <c:f>'Langmuir | Carb RB1 &amp; CH4'!$I$2</c:f>
              <c:strCache>
                <c:ptCount val="1"/>
                <c:pt idx="0">
                  <c:v>Fit  | T = 303.1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CH4'!$F$5:$F$18</c:f>
              <c:numCache>
                <c:formatCode>General</c:formatCode>
                <c:ptCount val="14"/>
                <c:pt idx="0">
                  <c:v>50093.8</c:v>
                </c:pt>
                <c:pt idx="1">
                  <c:v>97771.199999999997</c:v>
                </c:pt>
                <c:pt idx="2">
                  <c:v>150554</c:v>
                </c:pt>
                <c:pt idx="3">
                  <c:v>193274</c:v>
                </c:pt>
                <c:pt idx="4">
                  <c:v>251145</c:v>
                </c:pt>
                <c:pt idx="5">
                  <c:v>293940</c:v>
                </c:pt>
                <c:pt idx="6">
                  <c:v>344298</c:v>
                </c:pt>
                <c:pt idx="7">
                  <c:v>392124</c:v>
                </c:pt>
                <c:pt idx="8">
                  <c:v>445022</c:v>
                </c:pt>
                <c:pt idx="9">
                  <c:v>495412</c:v>
                </c:pt>
                <c:pt idx="10">
                  <c:v>545820</c:v>
                </c:pt>
                <c:pt idx="11">
                  <c:v>601266</c:v>
                </c:pt>
                <c:pt idx="12">
                  <c:v>649150</c:v>
                </c:pt>
                <c:pt idx="13">
                  <c:v>697033</c:v>
                </c:pt>
              </c:numCache>
            </c:numRef>
          </c:xVal>
          <c:yVal>
            <c:numRef>
              <c:f>'Langmuir | Carb RB1 &amp; CH4'!$I$5:$I$18</c:f>
              <c:numCache>
                <c:formatCode>0.0000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A3-4841-8453-923C812090D8}"/>
            </c:ext>
          </c:extLst>
        </c:ser>
        <c:ser>
          <c:idx val="6"/>
          <c:order val="6"/>
          <c:tx>
            <c:strRef>
              <c:f>'Langmuir | Carb RB1 &amp; CH4'!$N$2</c:f>
              <c:strCache>
                <c:ptCount val="1"/>
                <c:pt idx="0">
                  <c:v>Fit  | T = 329.9 K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CH4'!$K$5:$K$18</c:f>
              <c:numCache>
                <c:formatCode>General</c:formatCode>
                <c:ptCount val="14"/>
                <c:pt idx="0">
                  <c:v>45162</c:v>
                </c:pt>
                <c:pt idx="1">
                  <c:v>100501</c:v>
                </c:pt>
                <c:pt idx="2">
                  <c:v>150850</c:v>
                </c:pt>
                <c:pt idx="3">
                  <c:v>193621</c:v>
                </c:pt>
                <c:pt idx="4">
                  <c:v>249018</c:v>
                </c:pt>
                <c:pt idx="5">
                  <c:v>291829</c:v>
                </c:pt>
                <c:pt idx="6">
                  <c:v>344727</c:v>
                </c:pt>
                <c:pt idx="7">
                  <c:v>392586</c:v>
                </c:pt>
                <c:pt idx="8">
                  <c:v>445492</c:v>
                </c:pt>
                <c:pt idx="9">
                  <c:v>495883</c:v>
                </c:pt>
                <c:pt idx="10">
                  <c:v>546290</c:v>
                </c:pt>
                <c:pt idx="11">
                  <c:v>601744</c:v>
                </c:pt>
                <c:pt idx="12">
                  <c:v>649653</c:v>
                </c:pt>
                <c:pt idx="13">
                  <c:v>700060</c:v>
                </c:pt>
              </c:numCache>
            </c:numRef>
          </c:xVal>
          <c:yVal>
            <c:numRef>
              <c:f>'Langmuir | Carb RB1 &amp; CH4'!$N$5:$N$18</c:f>
              <c:numCache>
                <c:formatCode>0.0000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7A3-4841-8453-923C812090D8}"/>
            </c:ext>
          </c:extLst>
        </c:ser>
        <c:ser>
          <c:idx val="7"/>
          <c:order val="7"/>
          <c:tx>
            <c:strRef>
              <c:f>'Langmuir | Carb RB1 &amp; CH4'!$S$2</c:f>
              <c:strCache>
                <c:ptCount val="1"/>
                <c:pt idx="0">
                  <c:v>Fit  | T = 348.3 K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CH4'!$P$5:$P$18</c:f>
              <c:numCache>
                <c:formatCode>General</c:formatCode>
                <c:ptCount val="14"/>
                <c:pt idx="0">
                  <c:v>47817.599999999999</c:v>
                </c:pt>
                <c:pt idx="1">
                  <c:v>100666</c:v>
                </c:pt>
                <c:pt idx="2">
                  <c:v>151024</c:v>
                </c:pt>
                <c:pt idx="3">
                  <c:v>193810</c:v>
                </c:pt>
                <c:pt idx="4">
                  <c:v>249248</c:v>
                </c:pt>
                <c:pt idx="5">
                  <c:v>292052</c:v>
                </c:pt>
                <c:pt idx="6">
                  <c:v>344983</c:v>
                </c:pt>
                <c:pt idx="7">
                  <c:v>392850</c:v>
                </c:pt>
                <c:pt idx="8">
                  <c:v>445764</c:v>
                </c:pt>
                <c:pt idx="9">
                  <c:v>496171</c:v>
                </c:pt>
                <c:pt idx="10">
                  <c:v>546587</c:v>
                </c:pt>
                <c:pt idx="11">
                  <c:v>599518</c:v>
                </c:pt>
                <c:pt idx="12">
                  <c:v>649941</c:v>
                </c:pt>
                <c:pt idx="13">
                  <c:v>700365</c:v>
                </c:pt>
              </c:numCache>
            </c:numRef>
          </c:xVal>
          <c:yVal>
            <c:numRef>
              <c:f>'Langmuir | Carb RB1 &amp; CH4'!$S$5:$S$18</c:f>
              <c:numCache>
                <c:formatCode>0.0000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A3-4841-8453-923C8120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'Toth | Zeolite 5A &amp; CO2'!$A$2</c:f>
              <c:strCache>
                <c:ptCount val="1"/>
                <c:pt idx="0">
                  <c:v> Exp | T = 228.15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'Toth | Zeolite 5A &amp; CO2'!$A$5:$A$34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25.0549</c:v>
                </c:pt>
                <c:pt idx="3">
                  <c:v>63.176299999999998</c:v>
                </c:pt>
                <c:pt idx="4">
                  <c:v>127.42700000000001</c:v>
                </c:pt>
                <c:pt idx="5">
                  <c:v>376.858</c:v>
                </c:pt>
                <c:pt idx="6">
                  <c:v>2042.91</c:v>
                </c:pt>
              </c:numCache>
            </c:numRef>
          </c:xVal>
          <c:yVal>
            <c:numRef>
              <c:f>'Toth | Zeolite 5A &amp; CO2'!$C$5:$C$34</c:f>
              <c:numCache>
                <c:formatCode>0.0000</c:formatCode>
                <c:ptCount val="30"/>
                <c:pt idx="0">
                  <c:v>5.0694510460000008E-2</c:v>
                </c:pt>
                <c:pt idx="1">
                  <c:v>6.4506922700000011E-2</c:v>
                </c:pt>
                <c:pt idx="2">
                  <c:v>8.3457179079999999E-2</c:v>
                </c:pt>
                <c:pt idx="3">
                  <c:v>0.10613560727000003</c:v>
                </c:pt>
                <c:pt idx="4">
                  <c:v>0.13270988918000001</c:v>
                </c:pt>
                <c:pt idx="5">
                  <c:v>0.16873201246000002</c:v>
                </c:pt>
                <c:pt idx="6">
                  <c:v>0.21066657347999998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1-4BA8-A3A5-883E6B3F9115}"/>
            </c:ext>
          </c:extLst>
        </c:ser>
        <c:ser>
          <c:idx val="1"/>
          <c:order val="1"/>
          <c:tx>
            <c:strRef>
              <c:f>'Toth | Zeolite 5A &amp; CO2'!$F$2</c:f>
              <c:strCache>
                <c:ptCount val="1"/>
                <c:pt idx="0">
                  <c:v> Exp | T = 248.15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5A &amp; CO2'!$F$5:$F$34</c:f>
              <c:numCache>
                <c:formatCode>General</c:formatCode>
                <c:ptCount val="30"/>
                <c:pt idx="0">
                  <c:v>2.6875900000000001</c:v>
                </c:pt>
                <c:pt idx="1">
                  <c:v>3.9406500000000002</c:v>
                </c:pt>
                <c:pt idx="2">
                  <c:v>6.5640900000000002</c:v>
                </c:pt>
                <c:pt idx="3">
                  <c:v>13.2399</c:v>
                </c:pt>
                <c:pt idx="4">
                  <c:v>24.2684</c:v>
                </c:pt>
                <c:pt idx="5">
                  <c:v>50.536000000000001</c:v>
                </c:pt>
                <c:pt idx="6">
                  <c:v>131.55699999999999</c:v>
                </c:pt>
                <c:pt idx="7">
                  <c:v>291.99400000000003</c:v>
                </c:pt>
                <c:pt idx="8">
                  <c:v>608.04200000000003</c:v>
                </c:pt>
                <c:pt idx="9">
                  <c:v>1687.12</c:v>
                </c:pt>
                <c:pt idx="10">
                  <c:v>6439.68</c:v>
                </c:pt>
              </c:numCache>
            </c:numRef>
          </c:xVal>
          <c:yVal>
            <c:numRef>
              <c:f>'Toth | Zeolite 5A &amp; CO2'!$H$5:$H$34</c:f>
              <c:numCache>
                <c:formatCode>0.0000</c:formatCode>
                <c:ptCount val="30"/>
                <c:pt idx="0">
                  <c:v>1.9629874241999998E-2</c:v>
                </c:pt>
                <c:pt idx="1">
                  <c:v>2.4556597615000005E-2</c:v>
                </c:pt>
                <c:pt idx="2">
                  <c:v>3.1793282334E-2</c:v>
                </c:pt>
                <c:pt idx="3">
                  <c:v>4.1150813132000003E-2</c:v>
                </c:pt>
                <c:pt idx="4">
                  <c:v>5.0580521970000007E-2</c:v>
                </c:pt>
                <c:pt idx="5">
                  <c:v>6.5464602060000002E-2</c:v>
                </c:pt>
                <c:pt idx="6">
                  <c:v>8.1824370980000005E-2</c:v>
                </c:pt>
                <c:pt idx="7">
                  <c:v>0.10407897324000001</c:v>
                </c:pt>
                <c:pt idx="8">
                  <c:v>0.13013216490999999</c:v>
                </c:pt>
                <c:pt idx="9">
                  <c:v>0.16547035725000001</c:v>
                </c:pt>
                <c:pt idx="10">
                  <c:v>0.19968626909000001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E1-4BA8-A3A5-883E6B3F9115}"/>
            </c:ext>
          </c:extLst>
        </c:ser>
        <c:ser>
          <c:idx val="2"/>
          <c:order val="2"/>
          <c:tx>
            <c:strRef>
              <c:f>'Toth | Zeolite 5A &amp; CO2'!$K$2</c:f>
              <c:strCache>
                <c:ptCount val="1"/>
                <c:pt idx="0">
                  <c:v> Exp | T = 273.15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'Toth | Zeolite 5A &amp; CO2'!$K$5:$K$34</c:f>
              <c:numCache>
                <c:formatCode>General</c:formatCode>
                <c:ptCount val="30"/>
                <c:pt idx="0">
                  <c:v>5.25075</c:v>
                </c:pt>
                <c:pt idx="1">
                  <c:v>7.9483499999999996</c:v>
                </c:pt>
                <c:pt idx="2">
                  <c:v>10.5908</c:v>
                </c:pt>
                <c:pt idx="3">
                  <c:v>17.6416</c:v>
                </c:pt>
                <c:pt idx="4">
                  <c:v>25.866800000000001</c:v>
                </c:pt>
                <c:pt idx="5">
                  <c:v>47.4133</c:v>
                </c:pt>
                <c:pt idx="6">
                  <c:v>89.724000000000004</c:v>
                </c:pt>
                <c:pt idx="7">
                  <c:v>159.30000000000001</c:v>
                </c:pt>
                <c:pt idx="8">
                  <c:v>321.31099999999998</c:v>
                </c:pt>
                <c:pt idx="9">
                  <c:v>648.08900000000006</c:v>
                </c:pt>
                <c:pt idx="10">
                  <c:v>1393.3</c:v>
                </c:pt>
                <c:pt idx="11">
                  <c:v>2722.09</c:v>
                </c:pt>
                <c:pt idx="12">
                  <c:v>6237.55</c:v>
                </c:pt>
                <c:pt idx="13">
                  <c:v>15234.4</c:v>
                </c:pt>
                <c:pt idx="14">
                  <c:v>27924.400000000001</c:v>
                </c:pt>
              </c:numCache>
            </c:numRef>
          </c:xVal>
          <c:yVal>
            <c:numRef>
              <c:f>'Toth | Zeolite 5A &amp; CO2'!$M$5:$M$34</c:f>
              <c:numCache>
                <c:formatCode>0.0000</c:formatCode>
                <c:ptCount val="30"/>
                <c:pt idx="0">
                  <c:v>1.0714742016000001E-2</c:v>
                </c:pt>
                <c:pt idx="1">
                  <c:v>1.2726572848E-2</c:v>
                </c:pt>
                <c:pt idx="2">
                  <c:v>1.5650355611000002E-2</c:v>
                </c:pt>
                <c:pt idx="3">
                  <c:v>2.0262444345000002E-2</c:v>
                </c:pt>
                <c:pt idx="4">
                  <c:v>2.4913922924E-2</c:v>
                </c:pt>
                <c:pt idx="5">
                  <c:v>3.2813105225999999E-2</c:v>
                </c:pt>
                <c:pt idx="6">
                  <c:v>4.1747646303000006E-2</c:v>
                </c:pt>
                <c:pt idx="7">
                  <c:v>5.1316385890000003E-2</c:v>
                </c:pt>
                <c:pt idx="8">
                  <c:v>6.5283276740000007E-2</c:v>
                </c:pt>
                <c:pt idx="9">
                  <c:v>8.3050957550000012E-2</c:v>
                </c:pt>
                <c:pt idx="10">
                  <c:v>0.10564400440000001</c:v>
                </c:pt>
                <c:pt idx="11">
                  <c:v>0.12983993187000001</c:v>
                </c:pt>
                <c:pt idx="12">
                  <c:v>0.15953987500000003</c:v>
                </c:pt>
                <c:pt idx="13">
                  <c:v>0.18611723768000002</c:v>
                </c:pt>
                <c:pt idx="14">
                  <c:v>0.19924703931000001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E1-4BA8-A3A5-883E6B3F9115}"/>
            </c:ext>
          </c:extLst>
        </c:ser>
        <c:ser>
          <c:idx val="3"/>
          <c:order val="3"/>
          <c:tx>
            <c:strRef>
              <c:f>'Toth | Zeolite 5A &amp; CO2'!$P$2</c:f>
              <c:strCache>
                <c:ptCount val="1"/>
                <c:pt idx="0">
                  <c:v> Exp | T = 298.15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'Toth | Zeolite 5A &amp; CO2'!$P$5:$P$34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14.5692</c:v>
                </c:pt>
                <c:pt idx="3">
                  <c:v>30.3385</c:v>
                </c:pt>
                <c:pt idx="4">
                  <c:v>39.155999999999999</c:v>
                </c:pt>
                <c:pt idx="5">
                  <c:v>52.173699999999997</c:v>
                </c:pt>
                <c:pt idx="6">
                  <c:v>65.223500000000001</c:v>
                </c:pt>
                <c:pt idx="7">
                  <c:v>95.633399999999995</c:v>
                </c:pt>
                <c:pt idx="8">
                  <c:v>135.82</c:v>
                </c:pt>
                <c:pt idx="9">
                  <c:v>149.45699999999999</c:v>
                </c:pt>
                <c:pt idx="10">
                  <c:v>233.572</c:v>
                </c:pt>
                <c:pt idx="11">
                  <c:v>401.678</c:v>
                </c:pt>
                <c:pt idx="12">
                  <c:v>414.69499999999999</c:v>
                </c:pt>
                <c:pt idx="13">
                  <c:v>669.09</c:v>
                </c:pt>
                <c:pt idx="14">
                  <c:v>836.44600000000003</c:v>
                </c:pt>
                <c:pt idx="15">
                  <c:v>1266.17</c:v>
                </c:pt>
                <c:pt idx="16">
                  <c:v>2553.89</c:v>
                </c:pt>
                <c:pt idx="17">
                  <c:v>4120.58</c:v>
                </c:pt>
                <c:pt idx="18">
                  <c:v>4254.1099999999997</c:v>
                </c:pt>
                <c:pt idx="19">
                  <c:v>7797.7</c:v>
                </c:pt>
                <c:pt idx="20">
                  <c:v>9145.74</c:v>
                </c:pt>
                <c:pt idx="21">
                  <c:v>14756.2</c:v>
                </c:pt>
                <c:pt idx="22">
                  <c:v>16237.8</c:v>
                </c:pt>
                <c:pt idx="23">
                  <c:v>25376.5</c:v>
                </c:pt>
                <c:pt idx="24">
                  <c:v>29763.5</c:v>
                </c:pt>
                <c:pt idx="25">
                  <c:v>40943.800000000003</c:v>
                </c:pt>
                <c:pt idx="26">
                  <c:v>43640.4</c:v>
                </c:pt>
                <c:pt idx="27">
                  <c:v>61978.9</c:v>
                </c:pt>
                <c:pt idx="28">
                  <c:v>75049.2</c:v>
                </c:pt>
                <c:pt idx="29">
                  <c:v>93820.800000000003</c:v>
                </c:pt>
              </c:numCache>
            </c:numRef>
          </c:xVal>
          <c:yVal>
            <c:numRef>
              <c:f>'Toth | Zeolite 5A &amp; CO2'!$R$5:$R$34</c:f>
              <c:numCache>
                <c:formatCode>0.0000</c:formatCode>
                <c:ptCount val="30"/>
                <c:pt idx="0">
                  <c:v>4.4407979220000005E-3</c:v>
                </c:pt>
                <c:pt idx="1">
                  <c:v>6.1603517029999999E-3</c:v>
                </c:pt>
                <c:pt idx="2">
                  <c:v>7.5738529899999994E-3</c:v>
                </c:pt>
                <c:pt idx="3">
                  <c:v>1.0686574976E-2</c:v>
                </c:pt>
                <c:pt idx="4">
                  <c:v>1.2696161247000001E-2</c:v>
                </c:pt>
                <c:pt idx="5">
                  <c:v>1.5345623447E-2</c:v>
                </c:pt>
                <c:pt idx="6">
                  <c:v>1.6723959945000002E-2</c:v>
                </c:pt>
                <c:pt idx="7">
                  <c:v>1.9865069026E-2</c:v>
                </c:pt>
                <c:pt idx="8">
                  <c:v>2.4426545110000003E-2</c:v>
                </c:pt>
                <c:pt idx="9">
                  <c:v>2.4423024230000003E-2</c:v>
                </c:pt>
                <c:pt idx="10">
                  <c:v>3.2174241549999996E-2</c:v>
                </c:pt>
                <c:pt idx="11">
                  <c:v>3.8208105639000005E-2</c:v>
                </c:pt>
                <c:pt idx="12">
                  <c:v>4.0938768133999999E-2</c:v>
                </c:pt>
                <c:pt idx="13">
                  <c:v>5.032965927E-2</c:v>
                </c:pt>
                <c:pt idx="14">
                  <c:v>5.0312494980000004E-2</c:v>
                </c:pt>
                <c:pt idx="15">
                  <c:v>5.7730989140000001E-2</c:v>
                </c:pt>
                <c:pt idx="16">
                  <c:v>8.006657164E-2</c:v>
                </c:pt>
                <c:pt idx="17">
                  <c:v>0.10014703050000001</c:v>
                </c:pt>
                <c:pt idx="18">
                  <c:v>9.1858438870000003E-2</c:v>
                </c:pt>
                <c:pt idx="19">
                  <c:v>0.11687561160000001</c:v>
                </c:pt>
                <c:pt idx="20">
                  <c:v>0.11888295331000003</c:v>
                </c:pt>
                <c:pt idx="21">
                  <c:v>0.14119124898999999</c:v>
                </c:pt>
                <c:pt idx="22">
                  <c:v>0.14117100393000001</c:v>
                </c:pt>
                <c:pt idx="23">
                  <c:v>0.16197764429</c:v>
                </c:pt>
                <c:pt idx="24">
                  <c:v>0.15376255103</c:v>
                </c:pt>
                <c:pt idx="25">
                  <c:v>0.17645858362000005</c:v>
                </c:pt>
                <c:pt idx="26">
                  <c:v>0.16753359293000003</c:v>
                </c:pt>
                <c:pt idx="27">
                  <c:v>0.17942096403000002</c:v>
                </c:pt>
                <c:pt idx="28">
                  <c:v>0.18567272657999997</c:v>
                </c:pt>
                <c:pt idx="29">
                  <c:v>0.19213354137999999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E1-4BA8-A3A5-883E6B3F9115}"/>
            </c:ext>
          </c:extLst>
        </c:ser>
        <c:ser>
          <c:idx val="8"/>
          <c:order val="8"/>
          <c:tx>
            <c:strRef>
              <c:f>'Toth | Zeolite 5A &amp; CO2'!$U$2</c:f>
              <c:strCache>
                <c:ptCount val="1"/>
                <c:pt idx="0">
                  <c:v> Exp | T = 323.15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'Toth | Zeolite 5A &amp; CO2'!$U$5:$U$20</c:f>
              <c:numCache>
                <c:formatCode>General</c:formatCode>
                <c:ptCount val="16"/>
                <c:pt idx="0">
                  <c:v>34.4664</c:v>
                </c:pt>
                <c:pt idx="1">
                  <c:v>108.645</c:v>
                </c:pt>
                <c:pt idx="2">
                  <c:v>164.46199999999999</c:v>
                </c:pt>
                <c:pt idx="3">
                  <c:v>199.14500000000001</c:v>
                </c:pt>
                <c:pt idx="4">
                  <c:v>331.72300000000001</c:v>
                </c:pt>
                <c:pt idx="5">
                  <c:v>471.11900000000003</c:v>
                </c:pt>
                <c:pt idx="6">
                  <c:v>836.44600000000003</c:v>
                </c:pt>
                <c:pt idx="7">
                  <c:v>1393.3</c:v>
                </c:pt>
                <c:pt idx="8">
                  <c:v>2109.11</c:v>
                </c:pt>
                <c:pt idx="9">
                  <c:v>3192.68</c:v>
                </c:pt>
                <c:pt idx="10">
                  <c:v>5852.12</c:v>
                </c:pt>
                <c:pt idx="11">
                  <c:v>9748.09</c:v>
                </c:pt>
                <c:pt idx="12">
                  <c:v>15234.4</c:v>
                </c:pt>
                <c:pt idx="13">
                  <c:v>23808.5</c:v>
                </c:pt>
                <c:pt idx="14">
                  <c:v>37208.1</c:v>
                </c:pt>
                <c:pt idx="15">
                  <c:v>56323.9</c:v>
                </c:pt>
              </c:numCache>
            </c:numRef>
          </c:xVal>
          <c:yVal>
            <c:numRef>
              <c:f>'Toth | Zeolite 5A &amp; CO2'!$W$5:$W$20</c:f>
              <c:numCache>
                <c:formatCode>0.0000</c:formatCode>
                <c:ptCount val="16"/>
                <c:pt idx="0">
                  <c:v>6.1482926889999999E-3</c:v>
                </c:pt>
                <c:pt idx="1">
                  <c:v>1.0483508222000001E-2</c:v>
                </c:pt>
                <c:pt idx="2">
                  <c:v>1.2668830416000001E-2</c:v>
                </c:pt>
                <c:pt idx="3">
                  <c:v>1.5052642220000001E-2</c:v>
                </c:pt>
                <c:pt idx="4">
                  <c:v>1.9154907530000001E-2</c:v>
                </c:pt>
                <c:pt idx="5">
                  <c:v>2.3553278848E-2</c:v>
                </c:pt>
                <c:pt idx="6">
                  <c:v>3.0491436954000004E-2</c:v>
                </c:pt>
                <c:pt idx="7">
                  <c:v>3.8801197874999999E-2</c:v>
                </c:pt>
                <c:pt idx="8">
                  <c:v>4.6889319399999997E-2</c:v>
                </c:pt>
                <c:pt idx="9">
                  <c:v>5.765088912E-2</c:v>
                </c:pt>
                <c:pt idx="10">
                  <c:v>7.2095739430000014E-2</c:v>
                </c:pt>
                <c:pt idx="11">
                  <c:v>8.7111852520000005E-2</c:v>
                </c:pt>
                <c:pt idx="12">
                  <c:v>0.10346325935</c:v>
                </c:pt>
                <c:pt idx="13">
                  <c:v>0.12078026752000001</c:v>
                </c:pt>
                <c:pt idx="14">
                  <c:v>0.13858139669000002</c:v>
                </c:pt>
                <c:pt idx="15">
                  <c:v>0.14840025078999999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E1-4BA8-A3A5-883E6B3F9115}"/>
            </c:ext>
          </c:extLst>
        </c:ser>
        <c:ser>
          <c:idx val="9"/>
          <c:order val="9"/>
          <c:tx>
            <c:strRef>
              <c:f>'Toth | Zeolite 5A &amp; CO2'!$Z$2</c:f>
              <c:strCache>
                <c:ptCount val="1"/>
                <c:pt idx="0">
                  <c:v> Exp | T = 348.15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'Toth | Zeolite 5A &amp; CO2'!$Z$5:$Z$20</c:f>
              <c:numCache>
                <c:formatCode>General</c:formatCode>
                <c:ptCount val="16"/>
                <c:pt idx="0">
                  <c:v>135.82</c:v>
                </c:pt>
                <c:pt idx="1">
                  <c:v>321.31099999999998</c:v>
                </c:pt>
                <c:pt idx="2">
                  <c:v>471.11900000000003</c:v>
                </c:pt>
                <c:pt idx="3">
                  <c:v>608.04200000000003</c:v>
                </c:pt>
                <c:pt idx="4">
                  <c:v>950.25300000000004</c:v>
                </c:pt>
                <c:pt idx="5">
                  <c:v>1393.3</c:v>
                </c:pt>
                <c:pt idx="6">
                  <c:v>2109.11</c:v>
                </c:pt>
                <c:pt idx="7">
                  <c:v>3402.95</c:v>
                </c:pt>
                <c:pt idx="8">
                  <c:v>4832.93</c:v>
                </c:pt>
                <c:pt idx="9">
                  <c:v>7086.23</c:v>
                </c:pt>
                <c:pt idx="10">
                  <c:v>11074.4</c:v>
                </c:pt>
                <c:pt idx="11">
                  <c:v>16237.8</c:v>
                </c:pt>
                <c:pt idx="12">
                  <c:v>23808.5</c:v>
                </c:pt>
                <c:pt idx="13">
                  <c:v>34908.9</c:v>
                </c:pt>
                <c:pt idx="14">
                  <c:v>49578.2</c:v>
                </c:pt>
                <c:pt idx="15">
                  <c:v>66060.899999999994</c:v>
                </c:pt>
              </c:numCache>
            </c:numRef>
          </c:xVal>
          <c:yVal>
            <c:numRef>
              <c:f>'Toth | Zeolite 5A &amp; CO2'!$AB$5:$AB$20</c:f>
              <c:numCache>
                <c:formatCode>0.0000</c:formatCode>
                <c:ptCount val="16"/>
                <c:pt idx="0">
                  <c:v>6.1356615320000002E-3</c:v>
                </c:pt>
                <c:pt idx="1">
                  <c:v>9.9380358880000012E-3</c:v>
                </c:pt>
                <c:pt idx="2">
                  <c:v>1.1804586409000001E-2</c:v>
                </c:pt>
                <c:pt idx="3">
                  <c:v>1.4024413227000002E-2</c:v>
                </c:pt>
                <c:pt idx="4">
                  <c:v>1.7542608556000001E-2</c:v>
                </c:pt>
                <c:pt idx="5">
                  <c:v>2.1945468996000004E-2</c:v>
                </c:pt>
                <c:pt idx="6">
                  <c:v>2.793026082E-2</c:v>
                </c:pt>
                <c:pt idx="7">
                  <c:v>3.4935227624000004E-2</c:v>
                </c:pt>
                <c:pt idx="8">
                  <c:v>4.0788250514000007E-2</c:v>
                </c:pt>
                <c:pt idx="9">
                  <c:v>5.0151854829999995E-2</c:v>
                </c:pt>
                <c:pt idx="10">
                  <c:v>6.1658970889999998E-2</c:v>
                </c:pt>
                <c:pt idx="11">
                  <c:v>7.3239585320000009E-2</c:v>
                </c:pt>
                <c:pt idx="12">
                  <c:v>8.5505891130000011E-2</c:v>
                </c:pt>
                <c:pt idx="13">
                  <c:v>9.8117683290000007E-2</c:v>
                </c:pt>
                <c:pt idx="14">
                  <c:v>0.1145562319</c:v>
                </c:pt>
                <c:pt idx="15">
                  <c:v>0.12269606635000001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2E1-4BA8-A3A5-883E6B3F9115}"/>
            </c:ext>
          </c:extLst>
        </c:ser>
        <c:ser>
          <c:idx val="10"/>
          <c:order val="10"/>
          <c:tx>
            <c:strRef>
              <c:f>'Toth | Zeolite 5A &amp; CO2'!$AE$2</c:f>
              <c:strCache>
                <c:ptCount val="1"/>
                <c:pt idx="0">
                  <c:v> Exp | T = 373.15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'Toth | Zeolite 5A &amp; CO2'!$AE$5:$AE$20</c:f>
              <c:numCache>
                <c:formatCode>General</c:formatCode>
                <c:ptCount val="16"/>
                <c:pt idx="0">
                  <c:v>342.47300000000001</c:v>
                </c:pt>
                <c:pt idx="1">
                  <c:v>736.26800000000003</c:v>
                </c:pt>
                <c:pt idx="2">
                  <c:v>1045.6600000000001</c:v>
                </c:pt>
                <c:pt idx="3">
                  <c:v>1393.3</c:v>
                </c:pt>
                <c:pt idx="4">
                  <c:v>2042.91</c:v>
                </c:pt>
                <c:pt idx="5">
                  <c:v>2810.31</c:v>
                </c:pt>
                <c:pt idx="6">
                  <c:v>4120.58</c:v>
                </c:pt>
                <c:pt idx="7">
                  <c:v>6237.55</c:v>
                </c:pt>
                <c:pt idx="8">
                  <c:v>8050.39</c:v>
                </c:pt>
                <c:pt idx="9">
                  <c:v>11433.3</c:v>
                </c:pt>
                <c:pt idx="10">
                  <c:v>17307.2</c:v>
                </c:pt>
                <c:pt idx="11">
                  <c:v>23808.5</c:v>
                </c:pt>
                <c:pt idx="12">
                  <c:v>32751.8</c:v>
                </c:pt>
                <c:pt idx="13">
                  <c:v>46514.7</c:v>
                </c:pt>
                <c:pt idx="14">
                  <c:v>61978.9</c:v>
                </c:pt>
                <c:pt idx="15">
                  <c:v>82584.3</c:v>
                </c:pt>
              </c:numCache>
            </c:numRef>
          </c:xVal>
          <c:yVal>
            <c:numRef>
              <c:f>'Toth | Zeolite 5A &amp; CO2'!$AG$5:$AG$20</c:f>
              <c:numCache>
                <c:formatCode>0.0000</c:formatCode>
                <c:ptCount val="16"/>
                <c:pt idx="0">
                  <c:v>5.6202927220000013E-3</c:v>
                </c:pt>
                <c:pt idx="1">
                  <c:v>9.1045995810000013E-3</c:v>
                </c:pt>
                <c:pt idx="2">
                  <c:v>1.1003542198000002E-2</c:v>
                </c:pt>
                <c:pt idx="3">
                  <c:v>1.2848263263000002E-2</c:v>
                </c:pt>
                <c:pt idx="4">
                  <c:v>1.5527300855E-2</c:v>
                </c:pt>
                <c:pt idx="5">
                  <c:v>1.9093600207000003E-2</c:v>
                </c:pt>
                <c:pt idx="6">
                  <c:v>2.3476787729999997E-2</c:v>
                </c:pt>
                <c:pt idx="7">
                  <c:v>2.9367616068999999E-2</c:v>
                </c:pt>
                <c:pt idx="8">
                  <c:v>3.4890116349000001E-2</c:v>
                </c:pt>
                <c:pt idx="9">
                  <c:v>4.1445158699999998E-2</c:v>
                </c:pt>
                <c:pt idx="10">
                  <c:v>5.0084517999999995E-2</c:v>
                </c:pt>
                <c:pt idx="11">
                  <c:v>5.9497150570000004E-2</c:v>
                </c:pt>
                <c:pt idx="12">
                  <c:v>6.8279105510000007E-2</c:v>
                </c:pt>
                <c:pt idx="13">
                  <c:v>8.1107431790000004E-2</c:v>
                </c:pt>
                <c:pt idx="14">
                  <c:v>9.1489626690000006E-2</c:v>
                </c:pt>
                <c:pt idx="15">
                  <c:v>9.6313232290000009E-2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2E1-4BA8-A3A5-883E6B3F9115}"/>
            </c:ext>
          </c:extLst>
        </c:ser>
        <c:ser>
          <c:idx val="11"/>
          <c:order val="11"/>
          <c:tx>
            <c:strRef>
              <c:f>'Toth | Zeolite 5A &amp; CO2'!$AJ$2</c:f>
              <c:strCache>
                <c:ptCount val="1"/>
                <c:pt idx="0">
                  <c:v> Exp | T = 398.15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5A &amp; CO2'!$AJ$5:$AJ$20</c:f>
              <c:numCache>
                <c:formatCode>General</c:formatCode>
                <c:ptCount val="16"/>
                <c:pt idx="0">
                  <c:v>648.08900000000006</c:v>
                </c:pt>
                <c:pt idx="1">
                  <c:v>1307.2</c:v>
                </c:pt>
                <c:pt idx="2">
                  <c:v>1798.24</c:v>
                </c:pt>
                <c:pt idx="3">
                  <c:v>2396.08</c:v>
                </c:pt>
                <c:pt idx="4">
                  <c:v>3513.23</c:v>
                </c:pt>
                <c:pt idx="5">
                  <c:v>4681.2299999999996</c:v>
                </c:pt>
                <c:pt idx="6">
                  <c:v>6439.68</c:v>
                </c:pt>
                <c:pt idx="7">
                  <c:v>8858.67</c:v>
                </c:pt>
                <c:pt idx="8">
                  <c:v>11803.8</c:v>
                </c:pt>
                <c:pt idx="9">
                  <c:v>16237.8</c:v>
                </c:pt>
                <c:pt idx="10">
                  <c:v>22337.3</c:v>
                </c:pt>
                <c:pt idx="11">
                  <c:v>31723.8</c:v>
                </c:pt>
                <c:pt idx="12">
                  <c:v>40943.800000000003</c:v>
                </c:pt>
                <c:pt idx="13">
                  <c:v>52843.5</c:v>
                </c:pt>
                <c:pt idx="14">
                  <c:v>75049.2</c:v>
                </c:pt>
                <c:pt idx="15">
                  <c:v>90875.9</c:v>
                </c:pt>
              </c:numCache>
            </c:numRef>
          </c:xVal>
          <c:yVal>
            <c:numRef>
              <c:f>'Toth | Zeolite 5A &amp; CO2'!$AL$5:$AL$20</c:f>
              <c:numCache>
                <c:formatCode>0.0000</c:formatCode>
                <c:ptCount val="16"/>
                <c:pt idx="0">
                  <c:v>5.2401697150000004E-3</c:v>
                </c:pt>
                <c:pt idx="1">
                  <c:v>7.9229482420000007E-3</c:v>
                </c:pt>
                <c:pt idx="2">
                  <c:v>9.2508041230000004E-3</c:v>
                </c:pt>
                <c:pt idx="3">
                  <c:v>1.04350081E-2</c:v>
                </c:pt>
                <c:pt idx="4">
                  <c:v>1.3053970677000001E-2</c:v>
                </c:pt>
                <c:pt idx="5">
                  <c:v>1.5242461663000001E-2</c:v>
                </c:pt>
                <c:pt idx="6">
                  <c:v>1.9069878278E-2</c:v>
                </c:pt>
                <c:pt idx="7">
                  <c:v>2.3449852998000002E-2</c:v>
                </c:pt>
                <c:pt idx="8">
                  <c:v>2.7381267606000001E-2</c:v>
                </c:pt>
                <c:pt idx="9">
                  <c:v>3.2527121748000001E-2</c:v>
                </c:pt>
                <c:pt idx="10">
                  <c:v>3.8640029593000003E-2</c:v>
                </c:pt>
                <c:pt idx="11">
                  <c:v>4.6699191879999997E-2</c:v>
                </c:pt>
                <c:pt idx="12">
                  <c:v>5.359747602E-2</c:v>
                </c:pt>
                <c:pt idx="13">
                  <c:v>6.2585842550000007E-2</c:v>
                </c:pt>
                <c:pt idx="14">
                  <c:v>7.059100334E-2</c:v>
                </c:pt>
                <c:pt idx="15">
                  <c:v>7.6934748880000015E-2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2E1-4BA8-A3A5-883E6B3F9115}"/>
            </c:ext>
          </c:extLst>
        </c:ser>
        <c:ser>
          <c:idx val="12"/>
          <c:order val="12"/>
          <c:tx>
            <c:strRef>
              <c:f>'Toth | Zeolite 5A &amp; CO2'!$AO$2</c:f>
              <c:strCache>
                <c:ptCount val="1"/>
                <c:pt idx="0">
                  <c:v> Exp | T = 423.15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5A &amp; CO2'!$AO$5:$AO$19</c:f>
              <c:numCache>
                <c:formatCode>General</c:formatCode>
                <c:ptCount val="15"/>
                <c:pt idx="0">
                  <c:v>981.04700000000003</c:v>
                </c:pt>
                <c:pt idx="1">
                  <c:v>2042.91</c:v>
                </c:pt>
                <c:pt idx="2">
                  <c:v>2553.89</c:v>
                </c:pt>
                <c:pt idx="3">
                  <c:v>3296.14</c:v>
                </c:pt>
                <c:pt idx="4">
                  <c:v>4681.2299999999996</c:v>
                </c:pt>
                <c:pt idx="5">
                  <c:v>6237.55</c:v>
                </c:pt>
                <c:pt idx="6">
                  <c:v>8858.67</c:v>
                </c:pt>
                <c:pt idx="7">
                  <c:v>12186.3</c:v>
                </c:pt>
                <c:pt idx="8">
                  <c:v>15234.4</c:v>
                </c:pt>
                <c:pt idx="9">
                  <c:v>20299.2</c:v>
                </c:pt>
                <c:pt idx="10">
                  <c:v>27047.9</c:v>
                </c:pt>
                <c:pt idx="11">
                  <c:v>36040.199999999997</c:v>
                </c:pt>
                <c:pt idx="12">
                  <c:v>48022</c:v>
                </c:pt>
                <c:pt idx="13">
                  <c:v>63987.4</c:v>
                </c:pt>
                <c:pt idx="14">
                  <c:v>82584.3</c:v>
                </c:pt>
              </c:numCache>
            </c:numRef>
          </c:xVal>
          <c:yVal>
            <c:numRef>
              <c:f>'Toth | Zeolite 5A &amp; CO2'!$AQ$5:$AQ$19</c:f>
              <c:numCache>
                <c:formatCode>0.0000</c:formatCode>
                <c:ptCount val="15"/>
                <c:pt idx="0">
                  <c:v>4.4830484819999997E-3</c:v>
                </c:pt>
                <c:pt idx="1">
                  <c:v>6.7779140550000014E-3</c:v>
                </c:pt>
                <c:pt idx="2">
                  <c:v>8.052868714000001E-3</c:v>
                </c:pt>
                <c:pt idx="3">
                  <c:v>8.9285995920000017E-3</c:v>
                </c:pt>
                <c:pt idx="4">
                  <c:v>1.0790837035E-2</c:v>
                </c:pt>
                <c:pt idx="5">
                  <c:v>1.2172210292000002E-2</c:v>
                </c:pt>
                <c:pt idx="6">
                  <c:v>1.5227894022E-2</c:v>
                </c:pt>
                <c:pt idx="7">
                  <c:v>1.8404872068000004E-2</c:v>
                </c:pt>
                <c:pt idx="8">
                  <c:v>2.1866909361000001E-2</c:v>
                </c:pt>
                <c:pt idx="9">
                  <c:v>2.5532893628E-2</c:v>
                </c:pt>
                <c:pt idx="10">
                  <c:v>2.9813491509999998E-2</c:v>
                </c:pt>
                <c:pt idx="11">
                  <c:v>3.8612346674E-2</c:v>
                </c:pt>
                <c:pt idx="12">
                  <c:v>4.2809411678000002E-2</c:v>
                </c:pt>
                <c:pt idx="13">
                  <c:v>4.746278273E-2</c:v>
                </c:pt>
                <c:pt idx="14">
                  <c:v>5.3541141940000002E-2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2E1-4BA8-A3A5-883E6B3F9115}"/>
            </c:ext>
          </c:extLst>
        </c:ser>
        <c:ser>
          <c:idx val="13"/>
          <c:order val="13"/>
          <c:tx>
            <c:strRef>
              <c:f>'Toth | Zeolite 5A &amp; CO2'!$AT$2</c:f>
              <c:strCache>
                <c:ptCount val="1"/>
                <c:pt idx="0">
                  <c:v> Exp | T = 448.15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5A &amp; CO2'!$AT$5:$AT$18</c:f>
              <c:numCache>
                <c:formatCode>General</c:formatCode>
                <c:ptCount val="14"/>
                <c:pt idx="0">
                  <c:v>2636.65</c:v>
                </c:pt>
                <c:pt idx="1">
                  <c:v>3513.23</c:v>
                </c:pt>
                <c:pt idx="2">
                  <c:v>4254.1099999999997</c:v>
                </c:pt>
                <c:pt idx="3">
                  <c:v>6041.76</c:v>
                </c:pt>
                <c:pt idx="4">
                  <c:v>8050.39</c:v>
                </c:pt>
                <c:pt idx="5">
                  <c:v>10726.8</c:v>
                </c:pt>
                <c:pt idx="6">
                  <c:v>14293</c:v>
                </c:pt>
                <c:pt idx="7">
                  <c:v>17868.099999999999</c:v>
                </c:pt>
                <c:pt idx="8">
                  <c:v>23808.5</c:v>
                </c:pt>
                <c:pt idx="9">
                  <c:v>31723.8</c:v>
                </c:pt>
                <c:pt idx="10">
                  <c:v>40943.800000000003</c:v>
                </c:pt>
                <c:pt idx="11">
                  <c:v>52843.5</c:v>
                </c:pt>
                <c:pt idx="12">
                  <c:v>70411.8</c:v>
                </c:pt>
                <c:pt idx="13">
                  <c:v>90875.9</c:v>
                </c:pt>
              </c:numCache>
            </c:numRef>
          </c:xVal>
          <c:yVal>
            <c:numRef>
              <c:f>'Toth | Zeolite 5A &amp; CO2'!$AV$5:$AV$18</c:f>
              <c:numCache>
                <c:formatCode>0.0000</c:formatCode>
                <c:ptCount val="14"/>
                <c:pt idx="0">
                  <c:v>5.4129128900000005E-3</c:v>
                </c:pt>
                <c:pt idx="1">
                  <c:v>6.2121526500000003E-3</c:v>
                </c:pt>
                <c:pt idx="2">
                  <c:v>6.6545512219999998E-3</c:v>
                </c:pt>
                <c:pt idx="3">
                  <c:v>8.0424821180000005E-3</c:v>
                </c:pt>
                <c:pt idx="4">
                  <c:v>9.5543920010000005E-3</c:v>
                </c:pt>
                <c:pt idx="5">
                  <c:v>1.1749396615000001E-2</c:v>
                </c:pt>
                <c:pt idx="6">
                  <c:v>1.3719196942E-2</c:v>
                </c:pt>
                <c:pt idx="7">
                  <c:v>1.6020752186999998E-2</c:v>
                </c:pt>
                <c:pt idx="8">
                  <c:v>1.9032512939000001E-2</c:v>
                </c:pt>
                <c:pt idx="9">
                  <c:v>2.2610431194999999E-2</c:v>
                </c:pt>
                <c:pt idx="10">
                  <c:v>2.8290666899000002E-2</c:v>
                </c:pt>
                <c:pt idx="11">
                  <c:v>3.0302365697999999E-2</c:v>
                </c:pt>
                <c:pt idx="12">
                  <c:v>3.6626042221999999E-2</c:v>
                </c:pt>
                <c:pt idx="13">
                  <c:v>4.2768437437000005E-2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2E1-4BA8-A3A5-883E6B3F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'Toth | Zeolite 5A &amp; CO2'!$D$2</c:f>
              <c:strCache>
                <c:ptCount val="1"/>
                <c:pt idx="0">
                  <c:v>Fit  | T = 228.15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CO2'!$A$5:$A$34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25.0549</c:v>
                </c:pt>
                <c:pt idx="3">
                  <c:v>63.176299999999998</c:v>
                </c:pt>
                <c:pt idx="4">
                  <c:v>127.42700000000001</c:v>
                </c:pt>
                <c:pt idx="5">
                  <c:v>376.858</c:v>
                </c:pt>
                <c:pt idx="6">
                  <c:v>2042.91</c:v>
                </c:pt>
              </c:numCache>
            </c:numRef>
          </c:xVal>
          <c:yVal>
            <c:numRef>
              <c:f>'Toth | Zeolite 5A &amp; CO2'!$D$5:$D$34</c:f>
              <c:numCache>
                <c:formatCode>0.0000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2E1-4BA8-A3A5-883E6B3F9115}"/>
            </c:ext>
          </c:extLst>
        </c:ser>
        <c:ser>
          <c:idx val="5"/>
          <c:order val="5"/>
          <c:tx>
            <c:strRef>
              <c:f>'Toth | Zeolite 5A &amp; CO2'!$I$2</c:f>
              <c:strCache>
                <c:ptCount val="1"/>
                <c:pt idx="0">
                  <c:v>Fit  | T = 248.15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CO2'!$F$5:$F$34</c:f>
              <c:numCache>
                <c:formatCode>General</c:formatCode>
                <c:ptCount val="30"/>
                <c:pt idx="0">
                  <c:v>2.6875900000000001</c:v>
                </c:pt>
                <c:pt idx="1">
                  <c:v>3.9406500000000002</c:v>
                </c:pt>
                <c:pt idx="2">
                  <c:v>6.5640900000000002</c:v>
                </c:pt>
                <c:pt idx="3">
                  <c:v>13.2399</c:v>
                </c:pt>
                <c:pt idx="4">
                  <c:v>24.2684</c:v>
                </c:pt>
                <c:pt idx="5">
                  <c:v>50.536000000000001</c:v>
                </c:pt>
                <c:pt idx="6">
                  <c:v>131.55699999999999</c:v>
                </c:pt>
                <c:pt idx="7">
                  <c:v>291.99400000000003</c:v>
                </c:pt>
                <c:pt idx="8">
                  <c:v>608.04200000000003</c:v>
                </c:pt>
                <c:pt idx="9">
                  <c:v>1687.12</c:v>
                </c:pt>
                <c:pt idx="10">
                  <c:v>6439.68</c:v>
                </c:pt>
              </c:numCache>
            </c:numRef>
          </c:xVal>
          <c:yVal>
            <c:numRef>
              <c:f>'Toth | Zeolite 5A &amp; CO2'!$I$5:$I$34</c:f>
              <c:numCache>
                <c:formatCode>0.0000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2E1-4BA8-A3A5-883E6B3F9115}"/>
            </c:ext>
          </c:extLst>
        </c:ser>
        <c:ser>
          <c:idx val="6"/>
          <c:order val="6"/>
          <c:tx>
            <c:strRef>
              <c:f>'Toth | Zeolite 5A &amp; CO2'!$N$2</c:f>
              <c:strCache>
                <c:ptCount val="1"/>
                <c:pt idx="0">
                  <c:v>Fit  | T =  273.15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CO2'!$K$5:$K$34</c:f>
              <c:numCache>
                <c:formatCode>General</c:formatCode>
                <c:ptCount val="30"/>
                <c:pt idx="0">
                  <c:v>5.25075</c:v>
                </c:pt>
                <c:pt idx="1">
                  <c:v>7.9483499999999996</c:v>
                </c:pt>
                <c:pt idx="2">
                  <c:v>10.5908</c:v>
                </c:pt>
                <c:pt idx="3">
                  <c:v>17.6416</c:v>
                </c:pt>
                <c:pt idx="4">
                  <c:v>25.866800000000001</c:v>
                </c:pt>
                <c:pt idx="5">
                  <c:v>47.4133</c:v>
                </c:pt>
                <c:pt idx="6">
                  <c:v>89.724000000000004</c:v>
                </c:pt>
                <c:pt idx="7">
                  <c:v>159.30000000000001</c:v>
                </c:pt>
                <c:pt idx="8">
                  <c:v>321.31099999999998</c:v>
                </c:pt>
                <c:pt idx="9">
                  <c:v>648.08900000000006</c:v>
                </c:pt>
                <c:pt idx="10">
                  <c:v>1393.3</c:v>
                </c:pt>
                <c:pt idx="11">
                  <c:v>2722.09</c:v>
                </c:pt>
                <c:pt idx="12">
                  <c:v>6237.55</c:v>
                </c:pt>
                <c:pt idx="13">
                  <c:v>15234.4</c:v>
                </c:pt>
                <c:pt idx="14">
                  <c:v>27924.400000000001</c:v>
                </c:pt>
              </c:numCache>
            </c:numRef>
          </c:xVal>
          <c:yVal>
            <c:numRef>
              <c:f>'Toth | Zeolite 5A &amp; CO2'!$N$5:$N$34</c:f>
              <c:numCache>
                <c:formatCode>0.0000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E1-4BA8-A3A5-883E6B3F9115}"/>
            </c:ext>
          </c:extLst>
        </c:ser>
        <c:ser>
          <c:idx val="7"/>
          <c:order val="7"/>
          <c:tx>
            <c:strRef>
              <c:f>'Toth | Zeolite 5A &amp; CO2'!$S$2</c:f>
              <c:strCache>
                <c:ptCount val="1"/>
                <c:pt idx="0">
                  <c:v>Fit  | T = 298.15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CO2'!$P$5:$P$34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14.5692</c:v>
                </c:pt>
                <c:pt idx="3">
                  <c:v>30.3385</c:v>
                </c:pt>
                <c:pt idx="4">
                  <c:v>39.155999999999999</c:v>
                </c:pt>
                <c:pt idx="5">
                  <c:v>52.173699999999997</c:v>
                </c:pt>
                <c:pt idx="6">
                  <c:v>65.223500000000001</c:v>
                </c:pt>
                <c:pt idx="7">
                  <c:v>95.633399999999995</c:v>
                </c:pt>
                <c:pt idx="8">
                  <c:v>135.82</c:v>
                </c:pt>
                <c:pt idx="9">
                  <c:v>149.45699999999999</c:v>
                </c:pt>
                <c:pt idx="10">
                  <c:v>233.572</c:v>
                </c:pt>
                <c:pt idx="11">
                  <c:v>401.678</c:v>
                </c:pt>
                <c:pt idx="12">
                  <c:v>414.69499999999999</c:v>
                </c:pt>
                <c:pt idx="13">
                  <c:v>669.09</c:v>
                </c:pt>
                <c:pt idx="14">
                  <c:v>836.44600000000003</c:v>
                </c:pt>
                <c:pt idx="15">
                  <c:v>1266.17</c:v>
                </c:pt>
                <c:pt idx="16">
                  <c:v>2553.89</c:v>
                </c:pt>
                <c:pt idx="17">
                  <c:v>4120.58</c:v>
                </c:pt>
                <c:pt idx="18">
                  <c:v>4254.1099999999997</c:v>
                </c:pt>
                <c:pt idx="19">
                  <c:v>7797.7</c:v>
                </c:pt>
                <c:pt idx="20">
                  <c:v>9145.74</c:v>
                </c:pt>
                <c:pt idx="21">
                  <c:v>14756.2</c:v>
                </c:pt>
                <c:pt idx="22">
                  <c:v>16237.8</c:v>
                </c:pt>
                <c:pt idx="23">
                  <c:v>25376.5</c:v>
                </c:pt>
                <c:pt idx="24">
                  <c:v>29763.5</c:v>
                </c:pt>
                <c:pt idx="25">
                  <c:v>40943.800000000003</c:v>
                </c:pt>
                <c:pt idx="26">
                  <c:v>43640.4</c:v>
                </c:pt>
                <c:pt idx="27">
                  <c:v>61978.9</c:v>
                </c:pt>
                <c:pt idx="28">
                  <c:v>75049.2</c:v>
                </c:pt>
                <c:pt idx="29">
                  <c:v>93820.800000000003</c:v>
                </c:pt>
              </c:numCache>
            </c:numRef>
          </c:xVal>
          <c:yVal>
            <c:numRef>
              <c:f>'Toth | Zeolite 5A &amp; CO2'!$S$5:$S$34</c:f>
              <c:numCache>
                <c:formatCode>0.0000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2E1-4BA8-A3A5-883E6B3F9115}"/>
            </c:ext>
          </c:extLst>
        </c:ser>
        <c:ser>
          <c:idx val="14"/>
          <c:order val="14"/>
          <c:tx>
            <c:strRef>
              <c:f>'Toth | Zeolite 5A &amp; CO2'!$X$2</c:f>
              <c:strCache>
                <c:ptCount val="1"/>
                <c:pt idx="0">
                  <c:v>Fit  | T = 323.15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CO2'!$U$5:$U$20</c:f>
              <c:numCache>
                <c:formatCode>General</c:formatCode>
                <c:ptCount val="16"/>
                <c:pt idx="0">
                  <c:v>34.4664</c:v>
                </c:pt>
                <c:pt idx="1">
                  <c:v>108.645</c:v>
                </c:pt>
                <c:pt idx="2">
                  <c:v>164.46199999999999</c:v>
                </c:pt>
                <c:pt idx="3">
                  <c:v>199.14500000000001</c:v>
                </c:pt>
                <c:pt idx="4">
                  <c:v>331.72300000000001</c:v>
                </c:pt>
                <c:pt idx="5">
                  <c:v>471.11900000000003</c:v>
                </c:pt>
                <c:pt idx="6">
                  <c:v>836.44600000000003</c:v>
                </c:pt>
                <c:pt idx="7">
                  <c:v>1393.3</c:v>
                </c:pt>
                <c:pt idx="8">
                  <c:v>2109.11</c:v>
                </c:pt>
                <c:pt idx="9">
                  <c:v>3192.68</c:v>
                </c:pt>
                <c:pt idx="10">
                  <c:v>5852.12</c:v>
                </c:pt>
                <c:pt idx="11">
                  <c:v>9748.09</c:v>
                </c:pt>
                <c:pt idx="12">
                  <c:v>15234.4</c:v>
                </c:pt>
                <c:pt idx="13">
                  <c:v>23808.5</c:v>
                </c:pt>
                <c:pt idx="14">
                  <c:v>37208.1</c:v>
                </c:pt>
                <c:pt idx="15">
                  <c:v>56323.9</c:v>
                </c:pt>
              </c:numCache>
            </c:numRef>
          </c:xVal>
          <c:yVal>
            <c:numRef>
              <c:f>'Toth | Zeolite 5A &amp; CO2'!$X$5:$X$20</c:f>
              <c:numCache>
                <c:formatCode>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2E1-4BA8-A3A5-883E6B3F9115}"/>
            </c:ext>
          </c:extLst>
        </c:ser>
        <c:ser>
          <c:idx val="15"/>
          <c:order val="15"/>
          <c:tx>
            <c:strRef>
              <c:f>'Toth | Zeolite 5A &amp; CO2'!$AC$2</c:f>
              <c:strCache>
                <c:ptCount val="1"/>
                <c:pt idx="0">
                  <c:v>Fit  | T = 348.15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CO2'!$Z$5:$Z$20</c:f>
              <c:numCache>
                <c:formatCode>General</c:formatCode>
                <c:ptCount val="16"/>
                <c:pt idx="0">
                  <c:v>135.82</c:v>
                </c:pt>
                <c:pt idx="1">
                  <c:v>321.31099999999998</c:v>
                </c:pt>
                <c:pt idx="2">
                  <c:v>471.11900000000003</c:v>
                </c:pt>
                <c:pt idx="3">
                  <c:v>608.04200000000003</c:v>
                </c:pt>
                <c:pt idx="4">
                  <c:v>950.25300000000004</c:v>
                </c:pt>
                <c:pt idx="5">
                  <c:v>1393.3</c:v>
                </c:pt>
                <c:pt idx="6">
                  <c:v>2109.11</c:v>
                </c:pt>
                <c:pt idx="7">
                  <c:v>3402.95</c:v>
                </c:pt>
                <c:pt idx="8">
                  <c:v>4832.93</c:v>
                </c:pt>
                <c:pt idx="9">
                  <c:v>7086.23</c:v>
                </c:pt>
                <c:pt idx="10">
                  <c:v>11074.4</c:v>
                </c:pt>
                <c:pt idx="11">
                  <c:v>16237.8</c:v>
                </c:pt>
                <c:pt idx="12">
                  <c:v>23808.5</c:v>
                </c:pt>
                <c:pt idx="13">
                  <c:v>34908.9</c:v>
                </c:pt>
                <c:pt idx="14">
                  <c:v>49578.2</c:v>
                </c:pt>
                <c:pt idx="15">
                  <c:v>66060.899999999994</c:v>
                </c:pt>
              </c:numCache>
            </c:numRef>
          </c:xVal>
          <c:yVal>
            <c:numRef>
              <c:f>'Toth | Zeolite 5A &amp; CO2'!$AC$5:$AC$20</c:f>
              <c:numCache>
                <c:formatCode>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2E1-4BA8-A3A5-883E6B3F9115}"/>
            </c:ext>
          </c:extLst>
        </c:ser>
        <c:ser>
          <c:idx val="16"/>
          <c:order val="16"/>
          <c:tx>
            <c:strRef>
              <c:f>'Toth | Zeolite 5A &amp; CO2'!$AH$2</c:f>
              <c:strCache>
                <c:ptCount val="1"/>
                <c:pt idx="0">
                  <c:v>Fit  | T = 373.15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CO2'!$AE$5:$AE$20</c:f>
              <c:numCache>
                <c:formatCode>General</c:formatCode>
                <c:ptCount val="16"/>
                <c:pt idx="0">
                  <c:v>342.47300000000001</c:v>
                </c:pt>
                <c:pt idx="1">
                  <c:v>736.26800000000003</c:v>
                </c:pt>
                <c:pt idx="2">
                  <c:v>1045.6600000000001</c:v>
                </c:pt>
                <c:pt idx="3">
                  <c:v>1393.3</c:v>
                </c:pt>
                <c:pt idx="4">
                  <c:v>2042.91</c:v>
                </c:pt>
                <c:pt idx="5">
                  <c:v>2810.31</c:v>
                </c:pt>
                <c:pt idx="6">
                  <c:v>4120.58</c:v>
                </c:pt>
                <c:pt idx="7">
                  <c:v>6237.55</c:v>
                </c:pt>
                <c:pt idx="8">
                  <c:v>8050.39</c:v>
                </c:pt>
                <c:pt idx="9">
                  <c:v>11433.3</c:v>
                </c:pt>
                <c:pt idx="10">
                  <c:v>17307.2</c:v>
                </c:pt>
                <c:pt idx="11">
                  <c:v>23808.5</c:v>
                </c:pt>
                <c:pt idx="12">
                  <c:v>32751.8</c:v>
                </c:pt>
                <c:pt idx="13">
                  <c:v>46514.7</c:v>
                </c:pt>
                <c:pt idx="14">
                  <c:v>61978.9</c:v>
                </c:pt>
                <c:pt idx="15">
                  <c:v>82584.3</c:v>
                </c:pt>
              </c:numCache>
            </c:numRef>
          </c:xVal>
          <c:yVal>
            <c:numRef>
              <c:f>'Toth | Zeolite 5A &amp; CO2'!$AH$5:$AH$20</c:f>
              <c:numCache>
                <c:formatCode>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2E1-4BA8-A3A5-883E6B3F9115}"/>
            </c:ext>
          </c:extLst>
        </c:ser>
        <c:ser>
          <c:idx val="17"/>
          <c:order val="17"/>
          <c:tx>
            <c:strRef>
              <c:f>'Toth | Zeolite 5A &amp; CO2'!$AM$2</c:f>
              <c:strCache>
                <c:ptCount val="1"/>
                <c:pt idx="0">
                  <c:v>Fit  | T = 368.15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CO2'!$AJ$5:$AJ$20</c:f>
              <c:numCache>
                <c:formatCode>General</c:formatCode>
                <c:ptCount val="16"/>
                <c:pt idx="0">
                  <c:v>648.08900000000006</c:v>
                </c:pt>
                <c:pt idx="1">
                  <c:v>1307.2</c:v>
                </c:pt>
                <c:pt idx="2">
                  <c:v>1798.24</c:v>
                </c:pt>
                <c:pt idx="3">
                  <c:v>2396.08</c:v>
                </c:pt>
                <c:pt idx="4">
                  <c:v>3513.23</c:v>
                </c:pt>
                <c:pt idx="5">
                  <c:v>4681.2299999999996</c:v>
                </c:pt>
                <c:pt idx="6">
                  <c:v>6439.68</c:v>
                </c:pt>
                <c:pt idx="7">
                  <c:v>8858.67</c:v>
                </c:pt>
                <c:pt idx="8">
                  <c:v>11803.8</c:v>
                </c:pt>
                <c:pt idx="9">
                  <c:v>16237.8</c:v>
                </c:pt>
                <c:pt idx="10">
                  <c:v>22337.3</c:v>
                </c:pt>
                <c:pt idx="11">
                  <c:v>31723.8</c:v>
                </c:pt>
                <c:pt idx="12">
                  <c:v>40943.800000000003</c:v>
                </c:pt>
                <c:pt idx="13">
                  <c:v>52843.5</c:v>
                </c:pt>
                <c:pt idx="14">
                  <c:v>75049.2</c:v>
                </c:pt>
                <c:pt idx="15">
                  <c:v>90875.9</c:v>
                </c:pt>
              </c:numCache>
            </c:numRef>
          </c:xVal>
          <c:yVal>
            <c:numRef>
              <c:f>'Toth | Zeolite 5A &amp; CO2'!$AM$5:$AM$20</c:f>
              <c:numCache>
                <c:formatCode>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2E1-4BA8-A3A5-883E6B3F9115}"/>
            </c:ext>
          </c:extLst>
        </c:ser>
        <c:ser>
          <c:idx val="18"/>
          <c:order val="18"/>
          <c:tx>
            <c:strRef>
              <c:f>'Toth | Zeolite 5A &amp; CO2'!$AR$2</c:f>
              <c:strCache>
                <c:ptCount val="1"/>
                <c:pt idx="0">
                  <c:v>Fit  | T = 423.15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CO2'!$AO$5:$AO$19</c:f>
              <c:numCache>
                <c:formatCode>General</c:formatCode>
                <c:ptCount val="15"/>
                <c:pt idx="0">
                  <c:v>981.04700000000003</c:v>
                </c:pt>
                <c:pt idx="1">
                  <c:v>2042.91</c:v>
                </c:pt>
                <c:pt idx="2">
                  <c:v>2553.89</c:v>
                </c:pt>
                <c:pt idx="3">
                  <c:v>3296.14</c:v>
                </c:pt>
                <c:pt idx="4">
                  <c:v>4681.2299999999996</c:v>
                </c:pt>
                <c:pt idx="5">
                  <c:v>6237.55</c:v>
                </c:pt>
                <c:pt idx="6">
                  <c:v>8858.67</c:v>
                </c:pt>
                <c:pt idx="7">
                  <c:v>12186.3</c:v>
                </c:pt>
                <c:pt idx="8">
                  <c:v>15234.4</c:v>
                </c:pt>
                <c:pt idx="9">
                  <c:v>20299.2</c:v>
                </c:pt>
                <c:pt idx="10">
                  <c:v>27047.9</c:v>
                </c:pt>
                <c:pt idx="11">
                  <c:v>36040.199999999997</c:v>
                </c:pt>
                <c:pt idx="12">
                  <c:v>48022</c:v>
                </c:pt>
                <c:pt idx="13">
                  <c:v>63987.4</c:v>
                </c:pt>
                <c:pt idx="14">
                  <c:v>82584.3</c:v>
                </c:pt>
              </c:numCache>
            </c:numRef>
          </c:xVal>
          <c:yVal>
            <c:numRef>
              <c:f>'Toth | Zeolite 5A &amp; CO2'!$AR$5:$AR$19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2E1-4BA8-A3A5-883E6B3F9115}"/>
            </c:ext>
          </c:extLst>
        </c:ser>
        <c:ser>
          <c:idx val="19"/>
          <c:order val="19"/>
          <c:tx>
            <c:strRef>
              <c:f>'Toth | Zeolite 5A &amp; CO2'!$AW$2</c:f>
              <c:strCache>
                <c:ptCount val="1"/>
                <c:pt idx="0">
                  <c:v>Fit  | T = 448.15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CO2'!$AT$5:$AT$18</c:f>
              <c:numCache>
                <c:formatCode>General</c:formatCode>
                <c:ptCount val="14"/>
                <c:pt idx="0">
                  <c:v>2636.65</c:v>
                </c:pt>
                <c:pt idx="1">
                  <c:v>3513.23</c:v>
                </c:pt>
                <c:pt idx="2">
                  <c:v>4254.1099999999997</c:v>
                </c:pt>
                <c:pt idx="3">
                  <c:v>6041.76</c:v>
                </c:pt>
                <c:pt idx="4">
                  <c:v>8050.39</c:v>
                </c:pt>
                <c:pt idx="5">
                  <c:v>10726.8</c:v>
                </c:pt>
                <c:pt idx="6">
                  <c:v>14293</c:v>
                </c:pt>
                <c:pt idx="7">
                  <c:v>17868.099999999999</c:v>
                </c:pt>
                <c:pt idx="8">
                  <c:v>23808.5</c:v>
                </c:pt>
                <c:pt idx="9">
                  <c:v>31723.8</c:v>
                </c:pt>
                <c:pt idx="10">
                  <c:v>40943.800000000003</c:v>
                </c:pt>
                <c:pt idx="11">
                  <c:v>52843.5</c:v>
                </c:pt>
                <c:pt idx="12">
                  <c:v>70411.8</c:v>
                </c:pt>
                <c:pt idx="13">
                  <c:v>90875.9</c:v>
                </c:pt>
              </c:numCache>
            </c:numRef>
          </c:xVal>
          <c:yVal>
            <c:numRef>
              <c:f>'Toth | Zeolite 5A &amp; CO2'!$AW$5:$AW$18</c:f>
              <c:numCache>
                <c:formatCode>0.0000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2E1-4BA8-A3A5-883E6B3F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'Toth | Zeolite 13X &amp; CO2'!$A$2</c:f>
              <c:strCache>
                <c:ptCount val="1"/>
                <c:pt idx="0">
                  <c:v> Exp | T = 228.15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'Toth | Zeolite 13X &amp; CO2'!$A$5:$A$22</c:f>
              <c:numCache>
                <c:formatCode>General</c:formatCode>
                <c:ptCount val="18"/>
                <c:pt idx="0">
                  <c:v>207.23099999999999</c:v>
                </c:pt>
                <c:pt idx="1">
                  <c:v>417.11200000000002</c:v>
                </c:pt>
                <c:pt idx="2">
                  <c:v>1145.7</c:v>
                </c:pt>
              </c:numCache>
            </c:numRef>
          </c:xVal>
          <c:yVal>
            <c:numRef>
              <c:f>'Toth | Zeolite 13X &amp; CO2'!$C$5:$C$22</c:f>
              <c:numCache>
                <c:formatCode>0.0000</c:formatCode>
                <c:ptCount val="18"/>
                <c:pt idx="0">
                  <c:v>0.15453098309000002</c:v>
                </c:pt>
                <c:pt idx="1">
                  <c:v>0.18559306667</c:v>
                </c:pt>
                <c:pt idx="2">
                  <c:v>0.21153359018000001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D8-4986-91E1-0D6CB570828D}"/>
            </c:ext>
          </c:extLst>
        </c:ser>
        <c:ser>
          <c:idx val="1"/>
          <c:order val="1"/>
          <c:tx>
            <c:strRef>
              <c:f>'Toth | Zeolite 13X &amp; CO2'!$F$2</c:f>
              <c:strCache>
                <c:ptCount val="1"/>
                <c:pt idx="0">
                  <c:v> Exp | T = 248.15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13X &amp; CO2'!$F$5:$F$22</c:f>
              <c:numCache>
                <c:formatCode>General</c:formatCode>
                <c:ptCount val="18"/>
                <c:pt idx="0">
                  <c:v>170.63499999999999</c:v>
                </c:pt>
                <c:pt idx="1">
                  <c:v>357.06099999999998</c:v>
                </c:pt>
                <c:pt idx="2">
                  <c:v>433.64100000000002</c:v>
                </c:pt>
                <c:pt idx="3">
                  <c:v>1019.62</c:v>
                </c:pt>
                <c:pt idx="4">
                  <c:v>2052.2800000000002</c:v>
                </c:pt>
                <c:pt idx="5">
                  <c:v>8986.42</c:v>
                </c:pt>
              </c:numCache>
            </c:numRef>
          </c:xVal>
          <c:yVal>
            <c:numRef>
              <c:f>'Toth | Zeolite 13X &amp; CO2'!$H$5:$H$22</c:f>
              <c:numCache>
                <c:formatCode>0.0000</c:formatCode>
                <c:ptCount val="18"/>
                <c:pt idx="0">
                  <c:v>8.2468692020000012E-2</c:v>
                </c:pt>
                <c:pt idx="1">
                  <c:v>0.10997380658</c:v>
                </c:pt>
                <c:pt idx="2">
                  <c:v>0.12210763928000001</c:v>
                </c:pt>
                <c:pt idx="3">
                  <c:v>0.15054006561000002</c:v>
                </c:pt>
                <c:pt idx="4">
                  <c:v>0.18079982865999999</c:v>
                </c:pt>
                <c:pt idx="5">
                  <c:v>0.21714147180000001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D8-4986-91E1-0D6CB570828D}"/>
            </c:ext>
          </c:extLst>
        </c:ser>
        <c:ser>
          <c:idx val="2"/>
          <c:order val="2"/>
          <c:tx>
            <c:strRef>
              <c:f>'Toth | Zeolite 13X &amp; CO2'!$K$2</c:f>
              <c:strCache>
                <c:ptCount val="1"/>
                <c:pt idx="0">
                  <c:v> Exp | T = 273.15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'Toth | Zeolite 13X &amp; CO2'!$K$5:$K$22</c:f>
              <c:numCache>
                <c:formatCode>General</c:formatCode>
                <c:ptCount val="18"/>
                <c:pt idx="0">
                  <c:v>95.258300000000006</c:v>
                </c:pt>
                <c:pt idx="1">
                  <c:v>272.01900000000001</c:v>
                </c:pt>
                <c:pt idx="2">
                  <c:v>776.77499999999998</c:v>
                </c:pt>
                <c:pt idx="3">
                  <c:v>1826.43</c:v>
                </c:pt>
                <c:pt idx="4">
                  <c:v>4130.8</c:v>
                </c:pt>
                <c:pt idx="5">
                  <c:v>7117.39</c:v>
                </c:pt>
                <c:pt idx="6">
                  <c:v>18804.5</c:v>
                </c:pt>
              </c:numCache>
            </c:numRef>
          </c:xVal>
          <c:yVal>
            <c:numRef>
              <c:f>'Toth | Zeolite 13X &amp; CO2'!$M$5:$M$22</c:f>
              <c:numCache>
                <c:formatCode>0.0000</c:formatCode>
                <c:ptCount val="18"/>
                <c:pt idx="0">
                  <c:v>3.7616597799000007E-2</c:v>
                </c:pt>
                <c:pt idx="1">
                  <c:v>5.425896135000001E-2</c:v>
                </c:pt>
                <c:pt idx="2">
                  <c:v>8.4654718389999994E-2</c:v>
                </c:pt>
                <c:pt idx="3">
                  <c:v>0.11288909522000001</c:v>
                </c:pt>
                <c:pt idx="4">
                  <c:v>0.14286454721000003</c:v>
                </c:pt>
                <c:pt idx="5">
                  <c:v>0.16715025712000003</c:v>
                </c:pt>
                <c:pt idx="6">
                  <c:v>0.20074825452000003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D8-4986-91E1-0D6CB570828D}"/>
            </c:ext>
          </c:extLst>
        </c:ser>
        <c:ser>
          <c:idx val="3"/>
          <c:order val="3"/>
          <c:tx>
            <c:strRef>
              <c:f>'Toth | Zeolite 13X &amp; CO2'!$P$2</c:f>
              <c:strCache>
                <c:ptCount val="1"/>
                <c:pt idx="0">
                  <c:v> Exp | T = 298.15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'Toth | Zeolite 13X &amp; CO2'!$P$5:$P$22</c:f>
              <c:numCache>
                <c:formatCode>General</c:formatCode>
                <c:ptCount val="18"/>
                <c:pt idx="0">
                  <c:v>67.143500000000003</c:v>
                </c:pt>
                <c:pt idx="1">
                  <c:v>111.279</c:v>
                </c:pt>
                <c:pt idx="2">
                  <c:v>157.875</c:v>
                </c:pt>
                <c:pt idx="3">
                  <c:v>232.857</c:v>
                </c:pt>
                <c:pt idx="4">
                  <c:v>343.45100000000002</c:v>
                </c:pt>
                <c:pt idx="5">
                  <c:v>417.11200000000002</c:v>
                </c:pt>
                <c:pt idx="6">
                  <c:v>776.77499999999998</c:v>
                </c:pt>
                <c:pt idx="7">
                  <c:v>1060.03</c:v>
                </c:pt>
                <c:pt idx="8">
                  <c:v>2397.4299999999998</c:v>
                </c:pt>
                <c:pt idx="9">
                  <c:v>2693.89</c:v>
                </c:pt>
                <c:pt idx="10">
                  <c:v>3973.34</c:v>
                </c:pt>
                <c:pt idx="11">
                  <c:v>5422.22</c:v>
                </c:pt>
                <c:pt idx="12">
                  <c:v>10913.8</c:v>
                </c:pt>
                <c:pt idx="13">
                  <c:v>16735.099999999999</c:v>
                </c:pt>
                <c:pt idx="14">
                  <c:v>27735.599999999999</c:v>
                </c:pt>
                <c:pt idx="15">
                  <c:v>39349.300000000003</c:v>
                </c:pt>
                <c:pt idx="16">
                  <c:v>58038.1</c:v>
                </c:pt>
                <c:pt idx="17">
                  <c:v>79201.600000000006</c:v>
                </c:pt>
              </c:numCache>
            </c:numRef>
          </c:xVal>
          <c:yVal>
            <c:numRef>
              <c:f>'Toth | Zeolite 13X &amp; CO2'!$R$5:$R$22</c:f>
              <c:numCache>
                <c:formatCode>0.0000</c:formatCode>
                <c:ptCount val="18"/>
                <c:pt idx="0">
                  <c:v>1.7613026156000001E-2</c:v>
                </c:pt>
                <c:pt idx="1">
                  <c:v>2.0607050475000003E-2</c:v>
                </c:pt>
                <c:pt idx="2">
                  <c:v>2.5405349750000004E-2</c:v>
                </c:pt>
                <c:pt idx="3">
                  <c:v>2.9723973136E-2</c:v>
                </c:pt>
                <c:pt idx="4">
                  <c:v>3.6645098985000006E-2</c:v>
                </c:pt>
                <c:pt idx="5">
                  <c:v>3.6645098985000006E-2</c:v>
                </c:pt>
                <c:pt idx="6">
                  <c:v>5.1492429890000004E-2</c:v>
                </c:pt>
                <c:pt idx="7">
                  <c:v>5.2857651110000001E-2</c:v>
                </c:pt>
                <c:pt idx="8">
                  <c:v>7.0486697270000009E-2</c:v>
                </c:pt>
                <c:pt idx="9">
                  <c:v>8.0338559620000013E-2</c:v>
                </c:pt>
                <c:pt idx="10">
                  <c:v>9.1567966269999995E-2</c:v>
                </c:pt>
                <c:pt idx="11">
                  <c:v>0.10167113143000001</c:v>
                </c:pt>
                <c:pt idx="12">
                  <c:v>0.12866791894000001</c:v>
                </c:pt>
                <c:pt idx="13">
                  <c:v>0.14665213387000001</c:v>
                </c:pt>
                <c:pt idx="14">
                  <c:v>0.16715025712000003</c:v>
                </c:pt>
                <c:pt idx="15">
                  <c:v>0.17158128459999999</c:v>
                </c:pt>
                <c:pt idx="16">
                  <c:v>0.18559306667</c:v>
                </c:pt>
                <c:pt idx="17">
                  <c:v>0.20074825452000003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D8-4986-91E1-0D6CB570828D}"/>
            </c:ext>
          </c:extLst>
        </c:ser>
        <c:ser>
          <c:idx val="8"/>
          <c:order val="8"/>
          <c:tx>
            <c:strRef>
              <c:f>'Toth | Zeolite 13X &amp; CO2'!$U$2</c:f>
              <c:strCache>
                <c:ptCount val="1"/>
                <c:pt idx="0">
                  <c:v> Exp | T = 323.15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'Toth | Zeolite 13X &amp; CO2'!$U$5:$U$20</c:f>
              <c:numCache>
                <c:formatCode>General</c:formatCode>
                <c:ptCount val="16"/>
                <c:pt idx="0">
                  <c:v>199.33199999999999</c:v>
                </c:pt>
                <c:pt idx="1">
                  <c:v>468.69</c:v>
                </c:pt>
                <c:pt idx="2">
                  <c:v>1238.3</c:v>
                </c:pt>
                <c:pt idx="3">
                  <c:v>2800.64</c:v>
                </c:pt>
                <c:pt idx="4">
                  <c:v>6334.14</c:v>
                </c:pt>
                <c:pt idx="5">
                  <c:v>10913.8</c:v>
                </c:pt>
                <c:pt idx="6">
                  <c:v>19549.7</c:v>
                </c:pt>
                <c:pt idx="7">
                  <c:v>42529.7</c:v>
                </c:pt>
              </c:numCache>
            </c:numRef>
          </c:xVal>
          <c:yVal>
            <c:numRef>
              <c:f>'Toth | Zeolite 13X &amp; CO2'!$W$5:$W$20</c:f>
              <c:numCache>
                <c:formatCode>0.0000</c:formatCode>
                <c:ptCount val="16"/>
                <c:pt idx="0">
                  <c:v>1.7613026156000001E-2</c:v>
                </c:pt>
                <c:pt idx="1">
                  <c:v>2.4110017998000003E-2</c:v>
                </c:pt>
                <c:pt idx="2">
                  <c:v>3.3003584834000003E-2</c:v>
                </c:pt>
                <c:pt idx="3">
                  <c:v>4.8867173740000006E-2</c:v>
                </c:pt>
                <c:pt idx="4">
                  <c:v>7.0486697270000009E-2</c:v>
                </c:pt>
                <c:pt idx="5">
                  <c:v>8.689927939E-2</c:v>
                </c:pt>
                <c:pt idx="6">
                  <c:v>0.10713333664000001</c:v>
                </c:pt>
                <c:pt idx="7">
                  <c:v>0.13917510508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D8-4986-91E1-0D6CB570828D}"/>
            </c:ext>
          </c:extLst>
        </c:ser>
        <c:ser>
          <c:idx val="9"/>
          <c:order val="9"/>
          <c:tx>
            <c:strRef>
              <c:f>'Toth | Zeolite 13X &amp; CO2'!$Z$2</c:f>
              <c:strCache>
                <c:ptCount val="1"/>
                <c:pt idx="0">
                  <c:v> Exp | T = 348.15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'Toth | Zeolite 13X &amp; CO2'!$Z$5:$Z$20</c:f>
              <c:numCache>
                <c:formatCode>General</c:formatCode>
                <c:ptCount val="16"/>
                <c:pt idx="0">
                  <c:v>547.51599999999996</c:v>
                </c:pt>
                <c:pt idx="1">
                  <c:v>1145.7</c:v>
                </c:pt>
                <c:pt idx="2">
                  <c:v>2693.89</c:v>
                </c:pt>
                <c:pt idx="3">
                  <c:v>5215.54</c:v>
                </c:pt>
                <c:pt idx="4">
                  <c:v>11346.2</c:v>
                </c:pt>
                <c:pt idx="5">
                  <c:v>18087.7</c:v>
                </c:pt>
              </c:numCache>
            </c:numRef>
          </c:xVal>
          <c:yVal>
            <c:numRef>
              <c:f>'Toth | Zeolite 13X &amp; CO2'!$AB$5:$AB$20</c:f>
              <c:numCache>
                <c:formatCode>0.0000</c:formatCode>
                <c:ptCount val="16"/>
                <c:pt idx="0">
                  <c:v>1.6715025712000002E-2</c:v>
                </c:pt>
                <c:pt idx="1">
                  <c:v>2.2289811060000001E-2</c:v>
                </c:pt>
                <c:pt idx="2">
                  <c:v>3.0511990091000005E-2</c:v>
                </c:pt>
                <c:pt idx="3">
                  <c:v>4.1767055154000005E-2</c:v>
                </c:pt>
                <c:pt idx="4">
                  <c:v>5.5697240830000008E-2</c:v>
                </c:pt>
                <c:pt idx="5">
                  <c:v>7.0486697270000009E-2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D8-4986-91E1-0D6CB570828D}"/>
            </c:ext>
          </c:extLst>
        </c:ser>
        <c:ser>
          <c:idx val="10"/>
          <c:order val="10"/>
          <c:tx>
            <c:strRef>
              <c:f>'Toth | Zeolite 13X &amp; CO2'!$AE$2</c:f>
              <c:strCache>
                <c:ptCount val="1"/>
                <c:pt idx="0">
                  <c:v> Exp | T = 373.15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'Toth | Zeolite 13X &amp; CO2'!$AE$5:$AE$20</c:f>
              <c:numCache>
                <c:formatCode>General</c:formatCode>
                <c:ptCount val="16"/>
                <c:pt idx="0">
                  <c:v>872.827</c:v>
                </c:pt>
                <c:pt idx="1">
                  <c:v>2052.2800000000002</c:v>
                </c:pt>
                <c:pt idx="2">
                  <c:v>3401.3</c:v>
                </c:pt>
                <c:pt idx="3">
                  <c:v>6092.7</c:v>
                </c:pt>
                <c:pt idx="4">
                  <c:v>10497.8</c:v>
                </c:pt>
                <c:pt idx="5">
                  <c:v>20324.400000000001</c:v>
                </c:pt>
              </c:numCache>
            </c:numRef>
          </c:xVal>
          <c:yVal>
            <c:numRef>
              <c:f>'Toth | Zeolite 13X &amp; CO2'!$AG$5:$AG$20</c:f>
              <c:numCache>
                <c:formatCode>0.0000</c:formatCode>
                <c:ptCount val="16"/>
                <c:pt idx="0">
                  <c:v>9.9045435170000001E-3</c:v>
                </c:pt>
                <c:pt idx="1">
                  <c:v>1.2866791894E-2</c:v>
                </c:pt>
                <c:pt idx="2">
                  <c:v>1.6715025712000002E-2</c:v>
                </c:pt>
                <c:pt idx="3">
                  <c:v>2.1153359018000004E-2</c:v>
                </c:pt>
                <c:pt idx="4">
                  <c:v>2.7479940268000002E-2</c:v>
                </c:pt>
                <c:pt idx="5">
                  <c:v>3.4776700002000005E-2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4D8-4986-91E1-0D6CB570828D}"/>
            </c:ext>
          </c:extLst>
        </c:ser>
        <c:ser>
          <c:idx val="11"/>
          <c:order val="11"/>
          <c:tx>
            <c:strRef>
              <c:f>'Toth | Zeolite 13X &amp; CO2'!$AJ$2</c:f>
              <c:strCache>
                <c:ptCount val="1"/>
                <c:pt idx="0">
                  <c:v> Exp | T = 398.15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13X &amp; CO2'!$AJ$5:$AJ$20</c:f>
              <c:numCache>
                <c:formatCode>General</c:formatCode>
                <c:ptCount val="16"/>
                <c:pt idx="0">
                  <c:v>872.827</c:v>
                </c:pt>
                <c:pt idx="1">
                  <c:v>1974.05</c:v>
                </c:pt>
                <c:pt idx="2">
                  <c:v>3271.66</c:v>
                </c:pt>
                <c:pt idx="3">
                  <c:v>6092.7</c:v>
                </c:pt>
                <c:pt idx="4">
                  <c:v>10913.8</c:v>
                </c:pt>
                <c:pt idx="5">
                  <c:v>20324.400000000001</c:v>
                </c:pt>
              </c:numCache>
            </c:numRef>
          </c:xVal>
          <c:yVal>
            <c:numRef>
              <c:f>'Toth | Zeolite 13X &amp; CO2'!$AL$5:$AL$20</c:f>
              <c:numCache>
                <c:formatCode>0.0000</c:formatCode>
                <c:ptCount val="16"/>
                <c:pt idx="0">
                  <c:v>9.6487515850000004E-3</c:v>
                </c:pt>
                <c:pt idx="1">
                  <c:v>1.3207921155000002E-2</c:v>
                </c:pt>
                <c:pt idx="2">
                  <c:v>1.6715025712000002E-2</c:v>
                </c:pt>
                <c:pt idx="3">
                  <c:v>2.1714147180000001E-2</c:v>
                </c:pt>
                <c:pt idx="4">
                  <c:v>2.8208454351000001E-2</c:v>
                </c:pt>
                <c:pt idx="5">
                  <c:v>3.4776700002000005E-2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4D8-4986-91E1-0D6CB570828D}"/>
            </c:ext>
          </c:extLst>
        </c:ser>
        <c:ser>
          <c:idx val="12"/>
          <c:order val="12"/>
          <c:tx>
            <c:strRef>
              <c:f>'Toth | Zeolite 13X &amp; CO2'!$AO$2</c:f>
              <c:strCache>
                <c:ptCount val="1"/>
                <c:pt idx="0">
                  <c:v> Exp | T = 423.15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13X &amp; CO2'!$AO$5:$AO$19</c:f>
              <c:numCache>
                <c:formatCode>General</c:formatCode>
                <c:ptCount val="15"/>
                <c:pt idx="0">
                  <c:v>1446.56</c:v>
                </c:pt>
                <c:pt idx="1">
                  <c:v>2800.64</c:v>
                </c:pt>
                <c:pt idx="2">
                  <c:v>4464.67</c:v>
                </c:pt>
                <c:pt idx="3">
                  <c:v>7692.65</c:v>
                </c:pt>
                <c:pt idx="4">
                  <c:v>13254.5</c:v>
                </c:pt>
                <c:pt idx="5">
                  <c:v>22837.599999999999</c:v>
                </c:pt>
              </c:numCache>
            </c:numRef>
          </c:xVal>
          <c:yVal>
            <c:numRef>
              <c:f>'Toth | Zeolite 13X &amp; CO2'!$AQ$5:$AQ$19</c:f>
              <c:numCache>
                <c:formatCode>0.0000</c:formatCode>
                <c:ptCount val="15"/>
                <c:pt idx="0">
                  <c:v>8.2468692020000005E-3</c:v>
                </c:pt>
                <c:pt idx="1">
                  <c:v>1.0997380658000001E-2</c:v>
                </c:pt>
                <c:pt idx="2">
                  <c:v>1.4286454721E-2</c:v>
                </c:pt>
                <c:pt idx="3">
                  <c:v>1.7613026156000001E-2</c:v>
                </c:pt>
                <c:pt idx="4">
                  <c:v>2.348735037E-2</c:v>
                </c:pt>
                <c:pt idx="5">
                  <c:v>2.9723973136E-2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4D8-4986-91E1-0D6CB570828D}"/>
            </c:ext>
          </c:extLst>
        </c:ser>
        <c:ser>
          <c:idx val="13"/>
          <c:order val="13"/>
          <c:tx>
            <c:strRef>
              <c:f>'Toth | Zeolite 13X &amp; CO2'!$AT$2</c:f>
              <c:strCache>
                <c:ptCount val="1"/>
                <c:pt idx="0">
                  <c:v> Exp | T = 448.15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13X &amp; CO2'!$AT$5:$AT$18</c:f>
              <c:numCache>
                <c:formatCode>General</c:formatCode>
                <c:ptCount val="14"/>
                <c:pt idx="0">
                  <c:v>2052.2800000000002</c:v>
                </c:pt>
                <c:pt idx="1">
                  <c:v>3676.21</c:v>
                </c:pt>
                <c:pt idx="2">
                  <c:v>5637.09</c:v>
                </c:pt>
                <c:pt idx="3">
                  <c:v>9342.52</c:v>
                </c:pt>
              </c:numCache>
            </c:numRef>
          </c:xVal>
          <c:yVal>
            <c:numRef>
              <c:f>'Toth | Zeolite 13X &amp; CO2'!$AV$5:$AV$18</c:f>
              <c:numCache>
                <c:formatCode>0.0000</c:formatCode>
                <c:ptCount val="14"/>
                <c:pt idx="0">
                  <c:v>7.2355404330000008E-3</c:v>
                </c:pt>
                <c:pt idx="1">
                  <c:v>9.1567966270000006E-3</c:v>
                </c:pt>
                <c:pt idx="2">
                  <c:v>1.1588184321999999E-2</c:v>
                </c:pt>
                <c:pt idx="3">
                  <c:v>1.4665213387E-2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4D8-4986-91E1-0D6CB5708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'Toth | Zeolite 13X &amp; CO2'!$D$2</c:f>
              <c:strCache>
                <c:ptCount val="1"/>
                <c:pt idx="0">
                  <c:v>Fit  | T = 228.15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CO2'!$A$5:$A$22</c:f>
              <c:numCache>
                <c:formatCode>General</c:formatCode>
                <c:ptCount val="18"/>
                <c:pt idx="0">
                  <c:v>207.23099999999999</c:v>
                </c:pt>
                <c:pt idx="1">
                  <c:v>417.11200000000002</c:v>
                </c:pt>
                <c:pt idx="2">
                  <c:v>1145.7</c:v>
                </c:pt>
              </c:numCache>
            </c:numRef>
          </c:xVal>
          <c:yVal>
            <c:numRef>
              <c:f>'Toth | Zeolite 13X &amp; CO2'!$D$5:$D$22</c:f>
              <c:numCache>
                <c:formatCode>0.0000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4D8-4986-91E1-0D6CB570828D}"/>
            </c:ext>
          </c:extLst>
        </c:ser>
        <c:ser>
          <c:idx val="5"/>
          <c:order val="5"/>
          <c:tx>
            <c:strRef>
              <c:f>'Toth | Zeolite 13X &amp; CO2'!$I$2</c:f>
              <c:strCache>
                <c:ptCount val="1"/>
                <c:pt idx="0">
                  <c:v>Fit  | T = 248.15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CO2'!$F$5:$F$22</c:f>
              <c:numCache>
                <c:formatCode>General</c:formatCode>
                <c:ptCount val="18"/>
                <c:pt idx="0">
                  <c:v>170.63499999999999</c:v>
                </c:pt>
                <c:pt idx="1">
                  <c:v>357.06099999999998</c:v>
                </c:pt>
                <c:pt idx="2">
                  <c:v>433.64100000000002</c:v>
                </c:pt>
                <c:pt idx="3">
                  <c:v>1019.62</c:v>
                </c:pt>
                <c:pt idx="4">
                  <c:v>2052.2800000000002</c:v>
                </c:pt>
                <c:pt idx="5">
                  <c:v>8986.42</c:v>
                </c:pt>
              </c:numCache>
            </c:numRef>
          </c:xVal>
          <c:yVal>
            <c:numRef>
              <c:f>'Toth | Zeolite 13X &amp; CO2'!$I$5:$I$22</c:f>
              <c:numCache>
                <c:formatCode>0.0000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4D8-4986-91E1-0D6CB570828D}"/>
            </c:ext>
          </c:extLst>
        </c:ser>
        <c:ser>
          <c:idx val="6"/>
          <c:order val="6"/>
          <c:tx>
            <c:strRef>
              <c:f>'Toth | Zeolite 13X &amp; CO2'!$N$2</c:f>
              <c:strCache>
                <c:ptCount val="1"/>
                <c:pt idx="0">
                  <c:v>Fit  | T =  273.15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CO2'!$K$5:$K$22</c:f>
              <c:numCache>
                <c:formatCode>General</c:formatCode>
                <c:ptCount val="18"/>
                <c:pt idx="0">
                  <c:v>95.258300000000006</c:v>
                </c:pt>
                <c:pt idx="1">
                  <c:v>272.01900000000001</c:v>
                </c:pt>
                <c:pt idx="2">
                  <c:v>776.77499999999998</c:v>
                </c:pt>
                <c:pt idx="3">
                  <c:v>1826.43</c:v>
                </c:pt>
                <c:pt idx="4">
                  <c:v>4130.8</c:v>
                </c:pt>
                <c:pt idx="5">
                  <c:v>7117.39</c:v>
                </c:pt>
                <c:pt idx="6">
                  <c:v>18804.5</c:v>
                </c:pt>
              </c:numCache>
            </c:numRef>
          </c:xVal>
          <c:yVal>
            <c:numRef>
              <c:f>'Toth | Zeolite 13X &amp; CO2'!$N$5:$N$22</c:f>
              <c:numCache>
                <c:formatCode>0.0000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4D8-4986-91E1-0D6CB570828D}"/>
            </c:ext>
          </c:extLst>
        </c:ser>
        <c:ser>
          <c:idx val="7"/>
          <c:order val="7"/>
          <c:tx>
            <c:strRef>
              <c:f>'Toth | Zeolite 13X &amp; CO2'!$S$2</c:f>
              <c:strCache>
                <c:ptCount val="1"/>
                <c:pt idx="0">
                  <c:v>Fit  | T = 298.15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CO2'!$P$5:$P$22</c:f>
              <c:numCache>
                <c:formatCode>General</c:formatCode>
                <c:ptCount val="18"/>
                <c:pt idx="0">
                  <c:v>67.143500000000003</c:v>
                </c:pt>
                <c:pt idx="1">
                  <c:v>111.279</c:v>
                </c:pt>
                <c:pt idx="2">
                  <c:v>157.875</c:v>
                </c:pt>
                <c:pt idx="3">
                  <c:v>232.857</c:v>
                </c:pt>
                <c:pt idx="4">
                  <c:v>343.45100000000002</c:v>
                </c:pt>
                <c:pt idx="5">
                  <c:v>417.11200000000002</c:v>
                </c:pt>
                <c:pt idx="6">
                  <c:v>776.77499999999998</c:v>
                </c:pt>
                <c:pt idx="7">
                  <c:v>1060.03</c:v>
                </c:pt>
                <c:pt idx="8">
                  <c:v>2397.4299999999998</c:v>
                </c:pt>
                <c:pt idx="9">
                  <c:v>2693.89</c:v>
                </c:pt>
                <c:pt idx="10">
                  <c:v>3973.34</c:v>
                </c:pt>
                <c:pt idx="11">
                  <c:v>5422.22</c:v>
                </c:pt>
                <c:pt idx="12">
                  <c:v>10913.8</c:v>
                </c:pt>
                <c:pt idx="13">
                  <c:v>16735.099999999999</c:v>
                </c:pt>
                <c:pt idx="14">
                  <c:v>27735.599999999999</c:v>
                </c:pt>
                <c:pt idx="15">
                  <c:v>39349.300000000003</c:v>
                </c:pt>
                <c:pt idx="16">
                  <c:v>58038.1</c:v>
                </c:pt>
                <c:pt idx="17">
                  <c:v>79201.600000000006</c:v>
                </c:pt>
              </c:numCache>
            </c:numRef>
          </c:xVal>
          <c:yVal>
            <c:numRef>
              <c:f>'Toth | Zeolite 13X &amp; CO2'!$S$5:$S$22</c:f>
              <c:numCache>
                <c:formatCode>0.0000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4D8-4986-91E1-0D6CB570828D}"/>
            </c:ext>
          </c:extLst>
        </c:ser>
        <c:ser>
          <c:idx val="14"/>
          <c:order val="14"/>
          <c:tx>
            <c:strRef>
              <c:f>'Toth | Zeolite 13X &amp; CO2'!$X$2</c:f>
              <c:strCache>
                <c:ptCount val="1"/>
                <c:pt idx="0">
                  <c:v>Fit  | T = 323.15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CO2'!$U$5:$U$20</c:f>
              <c:numCache>
                <c:formatCode>General</c:formatCode>
                <c:ptCount val="16"/>
                <c:pt idx="0">
                  <c:v>199.33199999999999</c:v>
                </c:pt>
                <c:pt idx="1">
                  <c:v>468.69</c:v>
                </c:pt>
                <c:pt idx="2">
                  <c:v>1238.3</c:v>
                </c:pt>
                <c:pt idx="3">
                  <c:v>2800.64</c:v>
                </c:pt>
                <c:pt idx="4">
                  <c:v>6334.14</c:v>
                </c:pt>
                <c:pt idx="5">
                  <c:v>10913.8</c:v>
                </c:pt>
                <c:pt idx="6">
                  <c:v>19549.7</c:v>
                </c:pt>
                <c:pt idx="7">
                  <c:v>42529.7</c:v>
                </c:pt>
              </c:numCache>
            </c:numRef>
          </c:xVal>
          <c:yVal>
            <c:numRef>
              <c:f>'Toth | Zeolite 13X &amp; CO2'!$X$5:$X$20</c:f>
              <c:numCache>
                <c:formatCode>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4D8-4986-91E1-0D6CB570828D}"/>
            </c:ext>
          </c:extLst>
        </c:ser>
        <c:ser>
          <c:idx val="15"/>
          <c:order val="15"/>
          <c:tx>
            <c:strRef>
              <c:f>'Toth | Zeolite 13X &amp; CO2'!$AC$2</c:f>
              <c:strCache>
                <c:ptCount val="1"/>
                <c:pt idx="0">
                  <c:v>Fit  | T = 348.15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CO2'!$Z$5:$Z$20</c:f>
              <c:numCache>
                <c:formatCode>General</c:formatCode>
                <c:ptCount val="16"/>
                <c:pt idx="0">
                  <c:v>547.51599999999996</c:v>
                </c:pt>
                <c:pt idx="1">
                  <c:v>1145.7</c:v>
                </c:pt>
                <c:pt idx="2">
                  <c:v>2693.89</c:v>
                </c:pt>
                <c:pt idx="3">
                  <c:v>5215.54</c:v>
                </c:pt>
                <c:pt idx="4">
                  <c:v>11346.2</c:v>
                </c:pt>
                <c:pt idx="5">
                  <c:v>18087.7</c:v>
                </c:pt>
              </c:numCache>
            </c:numRef>
          </c:xVal>
          <c:yVal>
            <c:numRef>
              <c:f>'Toth | Zeolite 13X &amp; CO2'!$AC$5:$AC$20</c:f>
              <c:numCache>
                <c:formatCode>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4D8-4986-91E1-0D6CB570828D}"/>
            </c:ext>
          </c:extLst>
        </c:ser>
        <c:ser>
          <c:idx val="16"/>
          <c:order val="16"/>
          <c:tx>
            <c:strRef>
              <c:f>'Toth | Zeolite 13X &amp; CO2'!$AH$2</c:f>
              <c:strCache>
                <c:ptCount val="1"/>
                <c:pt idx="0">
                  <c:v>Fit  | T = 373.15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CO2'!$AE$5:$AE$20</c:f>
              <c:numCache>
                <c:formatCode>General</c:formatCode>
                <c:ptCount val="16"/>
                <c:pt idx="0">
                  <c:v>872.827</c:v>
                </c:pt>
                <c:pt idx="1">
                  <c:v>2052.2800000000002</c:v>
                </c:pt>
                <c:pt idx="2">
                  <c:v>3401.3</c:v>
                </c:pt>
                <c:pt idx="3">
                  <c:v>6092.7</c:v>
                </c:pt>
                <c:pt idx="4">
                  <c:v>10497.8</c:v>
                </c:pt>
                <c:pt idx="5">
                  <c:v>20324.400000000001</c:v>
                </c:pt>
              </c:numCache>
            </c:numRef>
          </c:xVal>
          <c:yVal>
            <c:numRef>
              <c:f>'Toth | Zeolite 13X &amp; CO2'!$AH$5:$AH$20</c:f>
              <c:numCache>
                <c:formatCode>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B4D8-4986-91E1-0D6CB570828D}"/>
            </c:ext>
          </c:extLst>
        </c:ser>
        <c:ser>
          <c:idx val="17"/>
          <c:order val="17"/>
          <c:tx>
            <c:strRef>
              <c:f>'Toth | Zeolite 13X &amp; CO2'!$AM$2</c:f>
              <c:strCache>
                <c:ptCount val="1"/>
                <c:pt idx="0">
                  <c:v>Fit  | T = 368.15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CO2'!$AJ$5:$AJ$20</c:f>
              <c:numCache>
                <c:formatCode>General</c:formatCode>
                <c:ptCount val="16"/>
                <c:pt idx="0">
                  <c:v>872.827</c:v>
                </c:pt>
                <c:pt idx="1">
                  <c:v>1974.05</c:v>
                </c:pt>
                <c:pt idx="2">
                  <c:v>3271.66</c:v>
                </c:pt>
                <c:pt idx="3">
                  <c:v>6092.7</c:v>
                </c:pt>
                <c:pt idx="4">
                  <c:v>10913.8</c:v>
                </c:pt>
                <c:pt idx="5">
                  <c:v>20324.400000000001</c:v>
                </c:pt>
              </c:numCache>
            </c:numRef>
          </c:xVal>
          <c:yVal>
            <c:numRef>
              <c:f>'Toth | Zeolite 13X &amp; CO2'!$AM$5:$AM$20</c:f>
              <c:numCache>
                <c:formatCode>0.0000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4D8-4986-91E1-0D6CB570828D}"/>
            </c:ext>
          </c:extLst>
        </c:ser>
        <c:ser>
          <c:idx val="18"/>
          <c:order val="18"/>
          <c:tx>
            <c:strRef>
              <c:f>'Toth | Zeolite 13X &amp; CO2'!$AR$2</c:f>
              <c:strCache>
                <c:ptCount val="1"/>
                <c:pt idx="0">
                  <c:v>Fit  | T = 423.15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CO2'!$AO$5:$AO$19</c:f>
              <c:numCache>
                <c:formatCode>General</c:formatCode>
                <c:ptCount val="15"/>
                <c:pt idx="0">
                  <c:v>1446.56</c:v>
                </c:pt>
                <c:pt idx="1">
                  <c:v>2800.64</c:v>
                </c:pt>
                <c:pt idx="2">
                  <c:v>4464.67</c:v>
                </c:pt>
                <c:pt idx="3">
                  <c:v>7692.65</c:v>
                </c:pt>
                <c:pt idx="4">
                  <c:v>13254.5</c:v>
                </c:pt>
                <c:pt idx="5">
                  <c:v>22837.599999999999</c:v>
                </c:pt>
              </c:numCache>
            </c:numRef>
          </c:xVal>
          <c:yVal>
            <c:numRef>
              <c:f>'Toth | Zeolite 13X &amp; CO2'!$AR$5:$AR$19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B4D8-4986-91E1-0D6CB570828D}"/>
            </c:ext>
          </c:extLst>
        </c:ser>
        <c:ser>
          <c:idx val="19"/>
          <c:order val="19"/>
          <c:tx>
            <c:strRef>
              <c:f>'Toth | Zeolite 13X &amp; CO2'!$AW$2</c:f>
              <c:strCache>
                <c:ptCount val="1"/>
                <c:pt idx="0">
                  <c:v>Fit  | T = 448.15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CO2'!$AT$5:$AT$18</c:f>
              <c:numCache>
                <c:formatCode>General</c:formatCode>
                <c:ptCount val="14"/>
                <c:pt idx="0">
                  <c:v>2052.2800000000002</c:v>
                </c:pt>
                <c:pt idx="1">
                  <c:v>3676.21</c:v>
                </c:pt>
                <c:pt idx="2">
                  <c:v>5637.09</c:v>
                </c:pt>
                <c:pt idx="3">
                  <c:v>9342.52</c:v>
                </c:pt>
              </c:numCache>
            </c:numRef>
          </c:xVal>
          <c:yVal>
            <c:numRef>
              <c:f>'Toth | Zeolite 13X &amp; CO2'!$AW$5:$AW$18</c:f>
              <c:numCache>
                <c:formatCode>0.0000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B4D8-4986-91E1-0D6CB5708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'Dubinin | Carb MSIII &amp; R134-a'!$A$2</c:f>
              <c:strCache>
                <c:ptCount val="1"/>
                <c:pt idx="0">
                  <c:v> Exp | T = 278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'Dubinin | Carb MSIII &amp; R134-a'!$A$5:$A$15</c:f>
              <c:numCache>
                <c:formatCode>General</c:formatCode>
                <c:ptCount val="11"/>
                <c:pt idx="0">
                  <c:v>19642.900000000001</c:v>
                </c:pt>
                <c:pt idx="1">
                  <c:v>58928.6</c:v>
                </c:pt>
                <c:pt idx="2">
                  <c:v>117857</c:v>
                </c:pt>
                <c:pt idx="3">
                  <c:v>182143</c:v>
                </c:pt>
                <c:pt idx="4">
                  <c:v>262500</c:v>
                </c:pt>
                <c:pt idx="5">
                  <c:v>300000</c:v>
                </c:pt>
              </c:numCache>
            </c:numRef>
          </c:xVal>
          <c:yVal>
            <c:numRef>
              <c:f>'Dubinin | Carb MSIII &amp; R134-a'!$C$5:$C$15</c:f>
              <c:numCache>
                <c:formatCode>0.0000</c:formatCode>
                <c:ptCount val="11"/>
                <c:pt idx="0">
                  <c:v>0.94693899999999998</c:v>
                </c:pt>
                <c:pt idx="1">
                  <c:v>1.4367300000000001</c:v>
                </c:pt>
                <c:pt idx="2">
                  <c:v>1.8530599999999999</c:v>
                </c:pt>
                <c:pt idx="3">
                  <c:v>2.0897999999999999</c:v>
                </c:pt>
                <c:pt idx="4">
                  <c:v>2.1795900000000001</c:v>
                </c:pt>
                <c:pt idx="5">
                  <c:v>2.21224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9-4CAC-96A0-CF4705333383}"/>
            </c:ext>
          </c:extLst>
        </c:ser>
        <c:ser>
          <c:idx val="1"/>
          <c:order val="1"/>
          <c:tx>
            <c:strRef>
              <c:f>'Dubinin | Carb MSIII &amp; R134-a'!$F$2</c:f>
              <c:strCache>
                <c:ptCount val="1"/>
                <c:pt idx="0">
                  <c:v> Exp | T = 288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| Carb MSIII &amp; R134-a'!$F$5:$F$15</c:f>
              <c:numCache>
                <c:formatCode>General</c:formatCode>
                <c:ptCount val="11"/>
                <c:pt idx="0">
                  <c:v>57142.9</c:v>
                </c:pt>
                <c:pt idx="1">
                  <c:v>144643</c:v>
                </c:pt>
                <c:pt idx="2">
                  <c:v>278571</c:v>
                </c:pt>
                <c:pt idx="3">
                  <c:v>392857</c:v>
                </c:pt>
                <c:pt idx="4">
                  <c:v>435714</c:v>
                </c:pt>
              </c:numCache>
            </c:numRef>
          </c:xVal>
          <c:yVal>
            <c:numRef>
              <c:f>'Dubinin | Carb MSIII &amp; R134-a'!$H$5:$H$15</c:f>
              <c:numCache>
                <c:formatCode>0.0000</c:formatCode>
                <c:ptCount val="11"/>
                <c:pt idx="0">
                  <c:v>1.2</c:v>
                </c:pt>
                <c:pt idx="1">
                  <c:v>1.7061200000000001</c:v>
                </c:pt>
                <c:pt idx="2">
                  <c:v>2.0734699999999999</c:v>
                </c:pt>
                <c:pt idx="3">
                  <c:v>2.1551</c:v>
                </c:pt>
                <c:pt idx="4">
                  <c:v>2.1877599999999999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9-4CAC-96A0-CF4705333383}"/>
            </c:ext>
          </c:extLst>
        </c:ser>
        <c:ser>
          <c:idx val="2"/>
          <c:order val="2"/>
          <c:tx>
            <c:strRef>
              <c:f>'Dubinin | Carb MSIII &amp; R134-a'!$K$2</c:f>
              <c:strCache>
                <c:ptCount val="1"/>
                <c:pt idx="0">
                  <c:v> Exp | T = 293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'Dubinin | Carb MSIII &amp; R134-a'!$K$5:$K$15</c:f>
              <c:numCache>
                <c:formatCode>General</c:formatCode>
                <c:ptCount val="11"/>
                <c:pt idx="0">
                  <c:v>48214.3</c:v>
                </c:pt>
                <c:pt idx="1">
                  <c:v>78571.399999999994</c:v>
                </c:pt>
                <c:pt idx="2">
                  <c:v>112500</c:v>
                </c:pt>
                <c:pt idx="3">
                  <c:v>151786</c:v>
                </c:pt>
                <c:pt idx="4">
                  <c:v>191071</c:v>
                </c:pt>
                <c:pt idx="5">
                  <c:v>232143</c:v>
                </c:pt>
                <c:pt idx="6">
                  <c:v>280357</c:v>
                </c:pt>
                <c:pt idx="7">
                  <c:v>330357</c:v>
                </c:pt>
                <c:pt idx="8">
                  <c:v>382143</c:v>
                </c:pt>
                <c:pt idx="9">
                  <c:v>444643</c:v>
                </c:pt>
              </c:numCache>
            </c:numRef>
          </c:xVal>
          <c:yVal>
            <c:numRef>
              <c:f>'Dubinin | Carb MSIII &amp; R134-a'!$M$5:$M$15</c:f>
              <c:numCache>
                <c:formatCode>0.0000</c:formatCode>
                <c:ptCount val="11"/>
                <c:pt idx="0">
                  <c:v>1.0530600000000001</c:v>
                </c:pt>
                <c:pt idx="1">
                  <c:v>1.2081599999999999</c:v>
                </c:pt>
                <c:pt idx="2">
                  <c:v>1.3714299999999999</c:v>
                </c:pt>
                <c:pt idx="3">
                  <c:v>1.5102</c:v>
                </c:pt>
                <c:pt idx="4">
                  <c:v>1.6571400000000001</c:v>
                </c:pt>
                <c:pt idx="5">
                  <c:v>1.78776</c:v>
                </c:pt>
                <c:pt idx="6">
                  <c:v>1.90204</c:v>
                </c:pt>
                <c:pt idx="7">
                  <c:v>1.9673499999999999</c:v>
                </c:pt>
                <c:pt idx="8">
                  <c:v>2.0326499999999998</c:v>
                </c:pt>
                <c:pt idx="9">
                  <c:v>2.05714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9-4CAC-96A0-CF4705333383}"/>
            </c:ext>
          </c:extLst>
        </c:ser>
        <c:ser>
          <c:idx val="3"/>
          <c:order val="3"/>
          <c:tx>
            <c:strRef>
              <c:f>'Dubinin | Carb MSIII &amp; R134-a'!$P$2</c:f>
              <c:strCache>
                <c:ptCount val="1"/>
                <c:pt idx="0">
                  <c:v> Exp | T = 298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'Dubinin | Carb MSIII &amp; R134-a'!$P$5:$P$15</c:f>
              <c:numCache>
                <c:formatCode>General</c:formatCode>
                <c:ptCount val="11"/>
                <c:pt idx="0">
                  <c:v>55357.1</c:v>
                </c:pt>
                <c:pt idx="1">
                  <c:v>83928.6</c:v>
                </c:pt>
                <c:pt idx="2">
                  <c:v>117857</c:v>
                </c:pt>
                <c:pt idx="3">
                  <c:v>157143</c:v>
                </c:pt>
                <c:pt idx="4">
                  <c:v>198214</c:v>
                </c:pt>
                <c:pt idx="5">
                  <c:v>241071</c:v>
                </c:pt>
                <c:pt idx="6">
                  <c:v>289286</c:v>
                </c:pt>
                <c:pt idx="7">
                  <c:v>339286</c:v>
                </c:pt>
                <c:pt idx="8">
                  <c:v>392857</c:v>
                </c:pt>
                <c:pt idx="9">
                  <c:v>457143</c:v>
                </c:pt>
                <c:pt idx="10">
                  <c:v>514286</c:v>
                </c:pt>
              </c:numCache>
            </c:numRef>
          </c:xVal>
          <c:yVal>
            <c:numRef>
              <c:f>'Dubinin | Carb MSIII &amp; R134-a'!$R$5:$R$15</c:f>
              <c:numCache>
                <c:formatCode>0.0000</c:formatCode>
                <c:ptCount val="11"/>
                <c:pt idx="0">
                  <c:v>0.99591799999999997</c:v>
                </c:pt>
                <c:pt idx="1">
                  <c:v>1.1673500000000001</c:v>
                </c:pt>
                <c:pt idx="2">
                  <c:v>1.3224499999999999</c:v>
                </c:pt>
                <c:pt idx="3">
                  <c:v>1.46122</c:v>
                </c:pt>
                <c:pt idx="4">
                  <c:v>1.5836699999999999</c:v>
                </c:pt>
                <c:pt idx="5">
                  <c:v>1.7142900000000001</c:v>
                </c:pt>
                <c:pt idx="6">
                  <c:v>1.83673</c:v>
                </c:pt>
                <c:pt idx="7">
                  <c:v>1.9101999999999999</c:v>
                </c:pt>
                <c:pt idx="8">
                  <c:v>1.98367</c:v>
                </c:pt>
                <c:pt idx="9">
                  <c:v>2.01633</c:v>
                </c:pt>
                <c:pt idx="10">
                  <c:v>2.0408200000000001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9-4CAC-96A0-CF4705333383}"/>
            </c:ext>
          </c:extLst>
        </c:ser>
        <c:ser>
          <c:idx val="8"/>
          <c:order val="8"/>
          <c:tx>
            <c:strRef>
              <c:f>'Dubinin | Carb MSIII &amp; R134-a'!$U$2</c:f>
              <c:strCache>
                <c:ptCount val="1"/>
                <c:pt idx="0">
                  <c:v> Exp | T = 308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'Dubinin | Carb MSIII &amp; R134-a'!$U$5:$U$15</c:f>
              <c:numCache>
                <c:formatCode>General</c:formatCode>
                <c:ptCount val="11"/>
                <c:pt idx="0">
                  <c:v>62500</c:v>
                </c:pt>
                <c:pt idx="1">
                  <c:v>91071.4</c:v>
                </c:pt>
                <c:pt idx="2">
                  <c:v>130357</c:v>
                </c:pt>
                <c:pt idx="3">
                  <c:v>171429</c:v>
                </c:pt>
                <c:pt idx="4">
                  <c:v>216071</c:v>
                </c:pt>
                <c:pt idx="5">
                  <c:v>260714</c:v>
                </c:pt>
                <c:pt idx="6">
                  <c:v>308929</c:v>
                </c:pt>
                <c:pt idx="7">
                  <c:v>362500</c:v>
                </c:pt>
                <c:pt idx="8">
                  <c:v>419643</c:v>
                </c:pt>
                <c:pt idx="9">
                  <c:v>480357</c:v>
                </c:pt>
                <c:pt idx="10">
                  <c:v>541071</c:v>
                </c:pt>
              </c:numCache>
            </c:numRef>
          </c:xVal>
          <c:yVal>
            <c:numRef>
              <c:f>'Dubinin | Carb MSIII &amp; R134-a'!$W$5:$W$15</c:f>
              <c:numCache>
                <c:formatCode>0.0000</c:formatCode>
                <c:ptCount val="11"/>
                <c:pt idx="0">
                  <c:v>0.89795899999999995</c:v>
                </c:pt>
                <c:pt idx="1">
                  <c:v>1.0530600000000001</c:v>
                </c:pt>
                <c:pt idx="2">
                  <c:v>1.2</c:v>
                </c:pt>
                <c:pt idx="3">
                  <c:v>1.3224499999999999</c:v>
                </c:pt>
                <c:pt idx="4">
                  <c:v>1.4449000000000001</c:v>
                </c:pt>
                <c:pt idx="5">
                  <c:v>1.5510200000000001</c:v>
                </c:pt>
                <c:pt idx="6">
                  <c:v>1.6571400000000001</c:v>
                </c:pt>
                <c:pt idx="7">
                  <c:v>1.73061</c:v>
                </c:pt>
                <c:pt idx="8">
                  <c:v>1.83673</c:v>
                </c:pt>
                <c:pt idx="9">
                  <c:v>1.9101999999999999</c:v>
                </c:pt>
                <c:pt idx="10">
                  <c:v>1.94286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9-4CAC-96A0-CF4705333383}"/>
            </c:ext>
          </c:extLst>
        </c:ser>
        <c:ser>
          <c:idx val="9"/>
          <c:order val="9"/>
          <c:tx>
            <c:strRef>
              <c:f>'Dubinin | Carb MSIII &amp; R134-a'!$Z$2</c:f>
              <c:strCache>
                <c:ptCount val="1"/>
                <c:pt idx="0">
                  <c:v> Exp | T = 318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'Dubinin | Carb MSIII &amp; R134-a'!$Z$5:$Z$15</c:f>
              <c:numCache>
                <c:formatCode>General</c:formatCode>
                <c:ptCount val="11"/>
                <c:pt idx="0">
                  <c:v>73214.3</c:v>
                </c:pt>
                <c:pt idx="1">
                  <c:v>103571</c:v>
                </c:pt>
                <c:pt idx="2">
                  <c:v>142857</c:v>
                </c:pt>
                <c:pt idx="3">
                  <c:v>185714</c:v>
                </c:pt>
                <c:pt idx="4">
                  <c:v>230357</c:v>
                </c:pt>
                <c:pt idx="5">
                  <c:v>278571</c:v>
                </c:pt>
                <c:pt idx="6">
                  <c:v>332143</c:v>
                </c:pt>
                <c:pt idx="7">
                  <c:v>385714</c:v>
                </c:pt>
                <c:pt idx="8">
                  <c:v>444643</c:v>
                </c:pt>
                <c:pt idx="9">
                  <c:v>510714</c:v>
                </c:pt>
                <c:pt idx="10">
                  <c:v>571429</c:v>
                </c:pt>
              </c:numCache>
            </c:numRef>
          </c:xVal>
          <c:yVal>
            <c:numRef>
              <c:f>'Dubinin | Carb MSIII &amp; R134-a'!$AB$5:$AB$15</c:f>
              <c:numCache>
                <c:formatCode>0.0000</c:formatCode>
                <c:ptCount val="11"/>
                <c:pt idx="0">
                  <c:v>0.81632700000000002</c:v>
                </c:pt>
                <c:pt idx="1">
                  <c:v>0.95510200000000001</c:v>
                </c:pt>
                <c:pt idx="2">
                  <c:v>1.09388</c:v>
                </c:pt>
                <c:pt idx="3">
                  <c:v>1.2081599999999999</c:v>
                </c:pt>
                <c:pt idx="4">
                  <c:v>1.29796</c:v>
                </c:pt>
                <c:pt idx="5">
                  <c:v>1.40408</c:v>
                </c:pt>
                <c:pt idx="6">
                  <c:v>1.4938800000000001</c:v>
                </c:pt>
                <c:pt idx="7">
                  <c:v>1.57551</c:v>
                </c:pt>
                <c:pt idx="8">
                  <c:v>1.67347</c:v>
                </c:pt>
                <c:pt idx="9">
                  <c:v>1.7551000000000001</c:v>
                </c:pt>
                <c:pt idx="10">
                  <c:v>1.8204100000000001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9-4CAC-96A0-CF4705333383}"/>
            </c:ext>
          </c:extLst>
        </c:ser>
        <c:ser>
          <c:idx val="10"/>
          <c:order val="10"/>
          <c:tx>
            <c:strRef>
              <c:f>'Dubinin | Carb MSIII &amp; R134-a'!$AE$2</c:f>
              <c:strCache>
                <c:ptCount val="1"/>
                <c:pt idx="0">
                  <c:v> Exp | T = 328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'Dubinin | Carb MSIII &amp; R134-a'!$AE$5:$AE$15</c:f>
              <c:numCache>
                <c:formatCode>General</c:formatCode>
                <c:ptCount val="11"/>
                <c:pt idx="0">
                  <c:v>82142.900000000009</c:v>
                </c:pt>
                <c:pt idx="1">
                  <c:v>114286</c:v>
                </c:pt>
                <c:pt idx="2">
                  <c:v>155357</c:v>
                </c:pt>
                <c:pt idx="3">
                  <c:v>198214</c:v>
                </c:pt>
                <c:pt idx="4">
                  <c:v>250000</c:v>
                </c:pt>
                <c:pt idx="5">
                  <c:v>298214</c:v>
                </c:pt>
                <c:pt idx="6">
                  <c:v>351786</c:v>
                </c:pt>
                <c:pt idx="7">
                  <c:v>410714</c:v>
                </c:pt>
                <c:pt idx="8">
                  <c:v>471429</c:v>
                </c:pt>
                <c:pt idx="9">
                  <c:v>539286</c:v>
                </c:pt>
                <c:pt idx="10">
                  <c:v>603571</c:v>
                </c:pt>
              </c:numCache>
            </c:numRef>
          </c:xVal>
          <c:yVal>
            <c:numRef>
              <c:f>'Dubinin | Carb MSIII &amp; R134-a'!$AG$5:$AG$15</c:f>
              <c:numCache>
                <c:formatCode>0.0000</c:formatCode>
                <c:ptCount val="11"/>
                <c:pt idx="0">
                  <c:v>0.71836699999999998</c:v>
                </c:pt>
                <c:pt idx="1">
                  <c:v>0.86530600000000002</c:v>
                </c:pt>
                <c:pt idx="2">
                  <c:v>1.0040800000000001</c:v>
                </c:pt>
                <c:pt idx="3">
                  <c:v>1.09388</c:v>
                </c:pt>
                <c:pt idx="4">
                  <c:v>1.2</c:v>
                </c:pt>
                <c:pt idx="5">
                  <c:v>1.2898000000000001</c:v>
                </c:pt>
                <c:pt idx="6">
                  <c:v>1.3714299999999999</c:v>
                </c:pt>
                <c:pt idx="7">
                  <c:v>1.4449000000000001</c:v>
                </c:pt>
                <c:pt idx="8">
                  <c:v>1.5346900000000001</c:v>
                </c:pt>
                <c:pt idx="9">
                  <c:v>1.61633</c:v>
                </c:pt>
                <c:pt idx="10">
                  <c:v>1.6979599999999999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9-4CAC-96A0-CF4705333383}"/>
            </c:ext>
          </c:extLst>
        </c:ser>
        <c:ser>
          <c:idx val="11"/>
          <c:order val="11"/>
          <c:tx>
            <c:strRef>
              <c:f>'Dubinin | Carb MSIII &amp; R134-a'!$AJ$2</c:f>
              <c:strCache>
                <c:ptCount val="1"/>
                <c:pt idx="0">
                  <c:v> Exp | T = 338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| Carb MSIII &amp; R134-a'!$AJ$5:$AJ$15</c:f>
              <c:numCache>
                <c:formatCode>General</c:formatCode>
                <c:ptCount val="11"/>
                <c:pt idx="0">
                  <c:v>89285.7</c:v>
                </c:pt>
                <c:pt idx="1">
                  <c:v>125000</c:v>
                </c:pt>
                <c:pt idx="2">
                  <c:v>167857</c:v>
                </c:pt>
                <c:pt idx="3">
                  <c:v>212500</c:v>
                </c:pt>
                <c:pt idx="4">
                  <c:v>262500</c:v>
                </c:pt>
                <c:pt idx="5">
                  <c:v>316071</c:v>
                </c:pt>
                <c:pt idx="6">
                  <c:v>373214</c:v>
                </c:pt>
                <c:pt idx="7">
                  <c:v>432143</c:v>
                </c:pt>
                <c:pt idx="8">
                  <c:v>498214</c:v>
                </c:pt>
                <c:pt idx="9">
                  <c:v>564286</c:v>
                </c:pt>
                <c:pt idx="10">
                  <c:v>637500</c:v>
                </c:pt>
              </c:numCache>
            </c:numRef>
          </c:xVal>
          <c:yVal>
            <c:numRef>
              <c:f>'Dubinin | Carb MSIII &amp; R134-a'!$AL$5:$AL$15</c:f>
              <c:numCache>
                <c:formatCode>0.0000</c:formatCode>
                <c:ptCount val="11"/>
                <c:pt idx="0">
                  <c:v>0.63673500000000005</c:v>
                </c:pt>
                <c:pt idx="1">
                  <c:v>0.767347</c:v>
                </c:pt>
                <c:pt idx="2">
                  <c:v>0.88979600000000003</c:v>
                </c:pt>
                <c:pt idx="3">
                  <c:v>0.98775500000000005</c:v>
                </c:pt>
                <c:pt idx="4">
                  <c:v>1.09388</c:v>
                </c:pt>
                <c:pt idx="5">
                  <c:v>1.1673500000000001</c:v>
                </c:pt>
                <c:pt idx="6">
                  <c:v>1.24898</c:v>
                </c:pt>
                <c:pt idx="7">
                  <c:v>1.3306100000000001</c:v>
                </c:pt>
                <c:pt idx="8">
                  <c:v>1.40408</c:v>
                </c:pt>
                <c:pt idx="9">
                  <c:v>1.4857100000000001</c:v>
                </c:pt>
                <c:pt idx="10">
                  <c:v>1.55918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9-4CAC-96A0-CF4705333383}"/>
            </c:ext>
          </c:extLst>
        </c:ser>
        <c:ser>
          <c:idx val="12"/>
          <c:order val="12"/>
          <c:tx>
            <c:strRef>
              <c:f>'Dubinin | Carb MSIII &amp; R134-a'!$AO$2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'Dubinin | Carb MSIII &amp; R134-a'!$AO$5:$AO$15</c:f>
              <c:numCache>
                <c:formatCode>General</c:formatCode>
                <c:ptCount val="11"/>
                <c:pt idx="0">
                  <c:v>96428.6</c:v>
                </c:pt>
                <c:pt idx="1">
                  <c:v>135714</c:v>
                </c:pt>
                <c:pt idx="2">
                  <c:v>178571</c:v>
                </c:pt>
                <c:pt idx="3">
                  <c:v>228571</c:v>
                </c:pt>
                <c:pt idx="4">
                  <c:v>280357</c:v>
                </c:pt>
                <c:pt idx="5">
                  <c:v>333929</c:v>
                </c:pt>
                <c:pt idx="6">
                  <c:v>391071</c:v>
                </c:pt>
                <c:pt idx="7">
                  <c:v>453571</c:v>
                </c:pt>
                <c:pt idx="8">
                  <c:v>525000</c:v>
                </c:pt>
                <c:pt idx="9">
                  <c:v>592857</c:v>
                </c:pt>
                <c:pt idx="10">
                  <c:v>664286</c:v>
                </c:pt>
              </c:numCache>
            </c:numRef>
          </c:xVal>
          <c:yVal>
            <c:numRef>
              <c:f>'Dubinin | Carb MSIII &amp; R134-a'!$AQ$5:$AQ$15</c:f>
              <c:numCache>
                <c:formatCode>0.0000</c:formatCode>
                <c:ptCount val="11"/>
                <c:pt idx="0">
                  <c:v>0.57142899999999996</c:v>
                </c:pt>
                <c:pt idx="1">
                  <c:v>0.68571400000000005</c:v>
                </c:pt>
                <c:pt idx="2">
                  <c:v>0.80816299999999996</c:v>
                </c:pt>
                <c:pt idx="3">
                  <c:v>0.89795899999999995</c:v>
                </c:pt>
                <c:pt idx="4">
                  <c:v>0.98775500000000005</c:v>
                </c:pt>
                <c:pt idx="5">
                  <c:v>1.0693900000000001</c:v>
                </c:pt>
                <c:pt idx="6">
                  <c:v>1.1510199999999999</c:v>
                </c:pt>
                <c:pt idx="7">
                  <c:v>1.2244900000000001</c:v>
                </c:pt>
                <c:pt idx="8">
                  <c:v>1.29796</c:v>
                </c:pt>
                <c:pt idx="9">
                  <c:v>1.3795900000000001</c:v>
                </c:pt>
                <c:pt idx="10">
                  <c:v>1.4449000000000001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9-4CAC-96A0-CF4705333383}"/>
            </c:ext>
          </c:extLst>
        </c:ser>
        <c:ser>
          <c:idx val="13"/>
          <c:order val="13"/>
          <c:tx>
            <c:strRef>
              <c:f>'Dubinin | Carb MSIII &amp; R134-a'!$AT$2</c:f>
              <c:strCache>
                <c:ptCount val="1"/>
                <c:pt idx="0">
                  <c:v> Exp | T = 358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'Dubinin | Carb MSIII &amp; R134-a'!$AT$5:$AT$15</c:f>
              <c:numCache>
                <c:formatCode>General</c:formatCode>
                <c:ptCount val="11"/>
                <c:pt idx="0">
                  <c:v>105357</c:v>
                </c:pt>
                <c:pt idx="1">
                  <c:v>142857</c:v>
                </c:pt>
                <c:pt idx="2">
                  <c:v>189286</c:v>
                </c:pt>
                <c:pt idx="3">
                  <c:v>239286</c:v>
                </c:pt>
                <c:pt idx="4">
                  <c:v>294643</c:v>
                </c:pt>
                <c:pt idx="5">
                  <c:v>351786</c:v>
                </c:pt>
                <c:pt idx="6">
                  <c:v>412500</c:v>
                </c:pt>
                <c:pt idx="7">
                  <c:v>476786</c:v>
                </c:pt>
                <c:pt idx="8">
                  <c:v>544643</c:v>
                </c:pt>
                <c:pt idx="9">
                  <c:v>621429</c:v>
                </c:pt>
                <c:pt idx="10">
                  <c:v>694643</c:v>
                </c:pt>
              </c:numCache>
            </c:numRef>
          </c:xVal>
          <c:yVal>
            <c:numRef>
              <c:f>'Dubinin | Carb MSIII &amp; R134-a'!$AV$5:$AV$15</c:f>
              <c:numCache>
                <c:formatCode>0.0000</c:formatCode>
                <c:ptCount val="11"/>
                <c:pt idx="0">
                  <c:v>0.49795899999999998</c:v>
                </c:pt>
                <c:pt idx="1">
                  <c:v>0.60408200000000001</c:v>
                </c:pt>
                <c:pt idx="2">
                  <c:v>0.70204100000000003</c:v>
                </c:pt>
                <c:pt idx="3">
                  <c:v>0.80816299999999996</c:v>
                </c:pt>
                <c:pt idx="4">
                  <c:v>0.88979600000000003</c:v>
                </c:pt>
                <c:pt idx="5">
                  <c:v>0.97142899999999999</c:v>
                </c:pt>
                <c:pt idx="6">
                  <c:v>1.0530600000000001</c:v>
                </c:pt>
                <c:pt idx="7">
                  <c:v>1.12653</c:v>
                </c:pt>
                <c:pt idx="8">
                  <c:v>1.19184</c:v>
                </c:pt>
                <c:pt idx="9">
                  <c:v>1.2653099999999999</c:v>
                </c:pt>
                <c:pt idx="10">
                  <c:v>1.34694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9-4CAC-96A0-CF4705333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'Dubinin | Carb MSIII &amp; R134-a'!$D$2</c:f>
              <c:strCache>
                <c:ptCount val="1"/>
                <c:pt idx="0">
                  <c:v>Fit  | T = 278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R134-a'!$A$5:$A$15</c:f>
              <c:numCache>
                <c:formatCode>General</c:formatCode>
                <c:ptCount val="11"/>
                <c:pt idx="0">
                  <c:v>19642.900000000001</c:v>
                </c:pt>
                <c:pt idx="1">
                  <c:v>58928.6</c:v>
                </c:pt>
                <c:pt idx="2">
                  <c:v>117857</c:v>
                </c:pt>
                <c:pt idx="3">
                  <c:v>182143</c:v>
                </c:pt>
                <c:pt idx="4">
                  <c:v>262500</c:v>
                </c:pt>
                <c:pt idx="5">
                  <c:v>300000</c:v>
                </c:pt>
              </c:numCache>
            </c:numRef>
          </c:xVal>
          <c:yVal>
            <c:numRef>
              <c:f>'Dubinin | Carb MSIII &amp; R134-a'!$D$5:$D$15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F9-4CAC-96A0-CF4705333383}"/>
            </c:ext>
          </c:extLst>
        </c:ser>
        <c:ser>
          <c:idx val="5"/>
          <c:order val="5"/>
          <c:tx>
            <c:strRef>
              <c:f>'Dubinin | Carb MSIII &amp; R134-a'!$I$2</c:f>
              <c:strCache>
                <c:ptCount val="1"/>
                <c:pt idx="0">
                  <c:v>Fit  | T = 288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R134-a'!$F$5:$F$15</c:f>
              <c:numCache>
                <c:formatCode>General</c:formatCode>
                <c:ptCount val="11"/>
                <c:pt idx="0">
                  <c:v>57142.9</c:v>
                </c:pt>
                <c:pt idx="1">
                  <c:v>144643</c:v>
                </c:pt>
                <c:pt idx="2">
                  <c:v>278571</c:v>
                </c:pt>
                <c:pt idx="3">
                  <c:v>392857</c:v>
                </c:pt>
                <c:pt idx="4">
                  <c:v>435714</c:v>
                </c:pt>
              </c:numCache>
            </c:numRef>
          </c:xVal>
          <c:yVal>
            <c:numRef>
              <c:f>'Dubinin | Carb MSIII &amp; R134-a'!$I$5:$I$15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F9-4CAC-96A0-CF4705333383}"/>
            </c:ext>
          </c:extLst>
        </c:ser>
        <c:ser>
          <c:idx val="6"/>
          <c:order val="6"/>
          <c:tx>
            <c:strRef>
              <c:f>'Dubinin | Carb MSIII &amp; R134-a'!$N$2</c:f>
              <c:strCache>
                <c:ptCount val="1"/>
                <c:pt idx="0">
                  <c:v>Fit  | T = 293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R134-a'!$K$5:$K$15</c:f>
              <c:numCache>
                <c:formatCode>General</c:formatCode>
                <c:ptCount val="11"/>
                <c:pt idx="0">
                  <c:v>48214.3</c:v>
                </c:pt>
                <c:pt idx="1">
                  <c:v>78571.399999999994</c:v>
                </c:pt>
                <c:pt idx="2">
                  <c:v>112500</c:v>
                </c:pt>
                <c:pt idx="3">
                  <c:v>151786</c:v>
                </c:pt>
                <c:pt idx="4">
                  <c:v>191071</c:v>
                </c:pt>
                <c:pt idx="5">
                  <c:v>232143</c:v>
                </c:pt>
                <c:pt idx="6">
                  <c:v>280357</c:v>
                </c:pt>
                <c:pt idx="7">
                  <c:v>330357</c:v>
                </c:pt>
                <c:pt idx="8">
                  <c:v>382143</c:v>
                </c:pt>
                <c:pt idx="9">
                  <c:v>444643</c:v>
                </c:pt>
              </c:numCache>
            </c:numRef>
          </c:xVal>
          <c:yVal>
            <c:numRef>
              <c:f>'Dubinin | Carb MSIII &amp; R134-a'!$N$5:$N$15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F9-4CAC-96A0-CF4705333383}"/>
            </c:ext>
          </c:extLst>
        </c:ser>
        <c:ser>
          <c:idx val="7"/>
          <c:order val="7"/>
          <c:tx>
            <c:strRef>
              <c:f>'Dubinin | Carb MSIII &amp; R134-a'!$S$2</c:f>
              <c:strCache>
                <c:ptCount val="1"/>
                <c:pt idx="0">
                  <c:v>Fit  | T = 298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R134-a'!$P$5:$P$15</c:f>
              <c:numCache>
                <c:formatCode>General</c:formatCode>
                <c:ptCount val="11"/>
                <c:pt idx="0">
                  <c:v>55357.1</c:v>
                </c:pt>
                <c:pt idx="1">
                  <c:v>83928.6</c:v>
                </c:pt>
                <c:pt idx="2">
                  <c:v>117857</c:v>
                </c:pt>
                <c:pt idx="3">
                  <c:v>157143</c:v>
                </c:pt>
                <c:pt idx="4">
                  <c:v>198214</c:v>
                </c:pt>
                <c:pt idx="5">
                  <c:v>241071</c:v>
                </c:pt>
                <c:pt idx="6">
                  <c:v>289286</c:v>
                </c:pt>
                <c:pt idx="7">
                  <c:v>339286</c:v>
                </c:pt>
                <c:pt idx="8">
                  <c:v>392857</c:v>
                </c:pt>
                <c:pt idx="9">
                  <c:v>457143</c:v>
                </c:pt>
                <c:pt idx="10">
                  <c:v>514286</c:v>
                </c:pt>
              </c:numCache>
            </c:numRef>
          </c:xVal>
          <c:yVal>
            <c:numRef>
              <c:f>'Dubinin | Carb MSIII &amp; R134-a'!$S$5:$S$15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F9-4CAC-96A0-CF4705333383}"/>
            </c:ext>
          </c:extLst>
        </c:ser>
        <c:ser>
          <c:idx val="14"/>
          <c:order val="14"/>
          <c:tx>
            <c:strRef>
              <c:f>'Dubinin | Carb MSIII &amp; R134-a'!$X$2</c:f>
              <c:strCache>
                <c:ptCount val="1"/>
                <c:pt idx="0">
                  <c:v>Fit  | T = 308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R134-a'!$U$5:$U$15</c:f>
              <c:numCache>
                <c:formatCode>General</c:formatCode>
                <c:ptCount val="11"/>
                <c:pt idx="0">
                  <c:v>62500</c:v>
                </c:pt>
                <c:pt idx="1">
                  <c:v>91071.4</c:v>
                </c:pt>
                <c:pt idx="2">
                  <c:v>130357</c:v>
                </c:pt>
                <c:pt idx="3">
                  <c:v>171429</c:v>
                </c:pt>
                <c:pt idx="4">
                  <c:v>216071</c:v>
                </c:pt>
                <c:pt idx="5">
                  <c:v>260714</c:v>
                </c:pt>
                <c:pt idx="6">
                  <c:v>308929</c:v>
                </c:pt>
                <c:pt idx="7">
                  <c:v>362500</c:v>
                </c:pt>
                <c:pt idx="8">
                  <c:v>419643</c:v>
                </c:pt>
                <c:pt idx="9">
                  <c:v>480357</c:v>
                </c:pt>
                <c:pt idx="10">
                  <c:v>541071</c:v>
                </c:pt>
              </c:numCache>
            </c:numRef>
          </c:xVal>
          <c:yVal>
            <c:numRef>
              <c:f>'Dubinin | Carb MSIII &amp; R134-a'!$X$5:$X$15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6F9-4CAC-96A0-CF4705333383}"/>
            </c:ext>
          </c:extLst>
        </c:ser>
        <c:ser>
          <c:idx val="15"/>
          <c:order val="15"/>
          <c:tx>
            <c:strRef>
              <c:f>'Dubinin | Carb MSIII &amp; R134-a'!$AC$2</c:f>
              <c:strCache>
                <c:ptCount val="1"/>
                <c:pt idx="0">
                  <c:v>Fit  | T = 318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R134-a'!$Z$5:$Z$15</c:f>
              <c:numCache>
                <c:formatCode>General</c:formatCode>
                <c:ptCount val="11"/>
                <c:pt idx="0">
                  <c:v>73214.3</c:v>
                </c:pt>
                <c:pt idx="1">
                  <c:v>103571</c:v>
                </c:pt>
                <c:pt idx="2">
                  <c:v>142857</c:v>
                </c:pt>
                <c:pt idx="3">
                  <c:v>185714</c:v>
                </c:pt>
                <c:pt idx="4">
                  <c:v>230357</c:v>
                </c:pt>
                <c:pt idx="5">
                  <c:v>278571</c:v>
                </c:pt>
                <c:pt idx="6">
                  <c:v>332143</c:v>
                </c:pt>
                <c:pt idx="7">
                  <c:v>385714</c:v>
                </c:pt>
                <c:pt idx="8">
                  <c:v>444643</c:v>
                </c:pt>
                <c:pt idx="9">
                  <c:v>510714</c:v>
                </c:pt>
                <c:pt idx="10">
                  <c:v>571429</c:v>
                </c:pt>
              </c:numCache>
            </c:numRef>
          </c:xVal>
          <c:yVal>
            <c:numRef>
              <c:f>'Dubinin | Carb MSIII &amp; R134-a'!$AC$5:$AC$15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6F9-4CAC-96A0-CF4705333383}"/>
            </c:ext>
          </c:extLst>
        </c:ser>
        <c:ser>
          <c:idx val="16"/>
          <c:order val="16"/>
          <c:tx>
            <c:strRef>
              <c:f>'Dubinin | Carb MSIII &amp; R134-a'!$AH$2</c:f>
              <c:strCache>
                <c:ptCount val="1"/>
                <c:pt idx="0">
                  <c:v>Fit  | T = 328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R134-a'!$AE$5:$AE$15</c:f>
              <c:numCache>
                <c:formatCode>General</c:formatCode>
                <c:ptCount val="11"/>
                <c:pt idx="0">
                  <c:v>82142.900000000009</c:v>
                </c:pt>
                <c:pt idx="1">
                  <c:v>114286</c:v>
                </c:pt>
                <c:pt idx="2">
                  <c:v>155357</c:v>
                </c:pt>
                <c:pt idx="3">
                  <c:v>198214</c:v>
                </c:pt>
                <c:pt idx="4">
                  <c:v>250000</c:v>
                </c:pt>
                <c:pt idx="5">
                  <c:v>298214</c:v>
                </c:pt>
                <c:pt idx="6">
                  <c:v>351786</c:v>
                </c:pt>
                <c:pt idx="7">
                  <c:v>410714</c:v>
                </c:pt>
                <c:pt idx="8">
                  <c:v>471429</c:v>
                </c:pt>
                <c:pt idx="9">
                  <c:v>539286</c:v>
                </c:pt>
                <c:pt idx="10">
                  <c:v>603571</c:v>
                </c:pt>
              </c:numCache>
            </c:numRef>
          </c:xVal>
          <c:yVal>
            <c:numRef>
              <c:f>'Dubinin | Carb MSIII &amp; R134-a'!$AH$5:$AH$15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6F9-4CAC-96A0-CF4705333383}"/>
            </c:ext>
          </c:extLst>
        </c:ser>
        <c:ser>
          <c:idx val="17"/>
          <c:order val="17"/>
          <c:tx>
            <c:strRef>
              <c:f>'Dubinin | Carb MSIII &amp; R134-a'!$AM$2</c:f>
              <c:strCache>
                <c:ptCount val="1"/>
                <c:pt idx="0">
                  <c:v>Fit  | T = 338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R134-a'!$AJ$5:$AJ$15</c:f>
              <c:numCache>
                <c:formatCode>General</c:formatCode>
                <c:ptCount val="11"/>
                <c:pt idx="0">
                  <c:v>89285.7</c:v>
                </c:pt>
                <c:pt idx="1">
                  <c:v>125000</c:v>
                </c:pt>
                <c:pt idx="2">
                  <c:v>167857</c:v>
                </c:pt>
                <c:pt idx="3">
                  <c:v>212500</c:v>
                </c:pt>
                <c:pt idx="4">
                  <c:v>262500</c:v>
                </c:pt>
                <c:pt idx="5">
                  <c:v>316071</c:v>
                </c:pt>
                <c:pt idx="6">
                  <c:v>373214</c:v>
                </c:pt>
                <c:pt idx="7">
                  <c:v>432143</c:v>
                </c:pt>
                <c:pt idx="8">
                  <c:v>498214</c:v>
                </c:pt>
                <c:pt idx="9">
                  <c:v>564286</c:v>
                </c:pt>
                <c:pt idx="10">
                  <c:v>637500</c:v>
                </c:pt>
              </c:numCache>
            </c:numRef>
          </c:xVal>
          <c:yVal>
            <c:numRef>
              <c:f>'Dubinin | Carb MSIII &amp; R134-a'!$AM$5:$AM$15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6F9-4CAC-96A0-CF4705333383}"/>
            </c:ext>
          </c:extLst>
        </c:ser>
        <c:ser>
          <c:idx val="18"/>
          <c:order val="18"/>
          <c:tx>
            <c:strRef>
              <c:f>'Dubinin | Carb MSIII &amp; R134-a'!$AR$2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R134-a'!$AO$5:$AO$15</c:f>
              <c:numCache>
                <c:formatCode>General</c:formatCode>
                <c:ptCount val="11"/>
                <c:pt idx="0">
                  <c:v>96428.6</c:v>
                </c:pt>
                <c:pt idx="1">
                  <c:v>135714</c:v>
                </c:pt>
                <c:pt idx="2">
                  <c:v>178571</c:v>
                </c:pt>
                <c:pt idx="3">
                  <c:v>228571</c:v>
                </c:pt>
                <c:pt idx="4">
                  <c:v>280357</c:v>
                </c:pt>
                <c:pt idx="5">
                  <c:v>333929</c:v>
                </c:pt>
                <c:pt idx="6">
                  <c:v>391071</c:v>
                </c:pt>
                <c:pt idx="7">
                  <c:v>453571</c:v>
                </c:pt>
                <c:pt idx="8">
                  <c:v>525000</c:v>
                </c:pt>
                <c:pt idx="9">
                  <c:v>592857</c:v>
                </c:pt>
                <c:pt idx="10">
                  <c:v>664286</c:v>
                </c:pt>
              </c:numCache>
            </c:numRef>
          </c:xVal>
          <c:yVal>
            <c:numRef>
              <c:f>'Dubinin | Carb MSIII &amp; R134-a'!$AR$5:$AR$15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6F9-4CAC-96A0-CF4705333383}"/>
            </c:ext>
          </c:extLst>
        </c:ser>
        <c:ser>
          <c:idx val="19"/>
          <c:order val="19"/>
          <c:tx>
            <c:strRef>
              <c:f>'Dubinin | Carb MSIII &amp; R134-a'!$AW$2</c:f>
              <c:strCache>
                <c:ptCount val="1"/>
                <c:pt idx="0">
                  <c:v>Fit  | T = 358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R134-a'!$AT$5:$AT$15</c:f>
              <c:numCache>
                <c:formatCode>General</c:formatCode>
                <c:ptCount val="11"/>
                <c:pt idx="0">
                  <c:v>105357</c:v>
                </c:pt>
                <c:pt idx="1">
                  <c:v>142857</c:v>
                </c:pt>
                <c:pt idx="2">
                  <c:v>189286</c:v>
                </c:pt>
                <c:pt idx="3">
                  <c:v>239286</c:v>
                </c:pt>
                <c:pt idx="4">
                  <c:v>294643</c:v>
                </c:pt>
                <c:pt idx="5">
                  <c:v>351786</c:v>
                </c:pt>
                <c:pt idx="6">
                  <c:v>412500</c:v>
                </c:pt>
                <c:pt idx="7">
                  <c:v>476786</c:v>
                </c:pt>
                <c:pt idx="8">
                  <c:v>544643</c:v>
                </c:pt>
                <c:pt idx="9">
                  <c:v>621429</c:v>
                </c:pt>
                <c:pt idx="10">
                  <c:v>694643</c:v>
                </c:pt>
              </c:numCache>
            </c:numRef>
          </c:xVal>
          <c:yVal>
            <c:numRef>
              <c:f>'Dubinin | Carb MSIII &amp; R134-a'!$AW$5:$AW$15</c:f>
              <c:numCache>
                <c:formatCode>0.0000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6F9-4CAC-96A0-CF4705333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25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166687</xdr:colOff>
      <xdr:row>0</xdr:row>
      <xdr:rowOff>0</xdr:rowOff>
    </xdr:from>
    <xdr:to>
      <xdr:col>27</xdr:col>
      <xdr:colOff>738187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166687</xdr:colOff>
      <xdr:row>0</xdr:row>
      <xdr:rowOff>0</xdr:rowOff>
    </xdr:from>
    <xdr:to>
      <xdr:col>27</xdr:col>
      <xdr:colOff>738187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41</xdr:row>
      <xdr:rowOff>194575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29</xdr:row>
      <xdr:rowOff>194575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23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9" tint="-0.499984740745262"/>
  </sheetPr>
  <dimension ref="A1:AC48"/>
  <sheetViews>
    <sheetView workbookViewId="0">
      <selection sqref="A1:E1"/>
    </sheetView>
  </sheetViews>
  <sheetFormatPr baseColWidth="10" defaultColWidth="11.3984375" defaultRowHeight="14.25" x14ac:dyDescent="0.45"/>
  <cols>
    <col min="1" max="1" width="54" style="21" bestFit="1" customWidth="1"/>
    <col min="2" max="2" width="12.73046875" style="21" bestFit="1" customWidth="1"/>
    <col min="3" max="5" width="11.3984375" style="21"/>
    <col min="6" max="6" width="2.86328125" style="21" customWidth="1"/>
    <col min="7" max="7" width="74.1328125" style="21" bestFit="1" customWidth="1"/>
    <col min="8" max="8" width="12.73046875" style="21" bestFit="1" customWidth="1"/>
    <col min="9" max="11" width="11.3984375" style="21"/>
    <col min="12" max="12" width="2.86328125" style="21" customWidth="1"/>
    <col min="13" max="13" width="59.73046875" style="21" bestFit="1" customWidth="1"/>
    <col min="14" max="14" width="12.73046875" style="21" bestFit="1" customWidth="1"/>
    <col min="15" max="17" width="11.3984375" style="21"/>
    <col min="18" max="18" width="2.86328125" style="21" customWidth="1"/>
    <col min="19" max="19" width="45" style="21" bestFit="1" customWidth="1"/>
    <col min="20" max="20" width="12" style="21" bestFit="1" customWidth="1"/>
    <col min="21" max="23" width="11.3984375" style="21"/>
    <col min="24" max="24" width="2.86328125" style="21" customWidth="1"/>
    <col min="25" max="25" width="45" style="21" bestFit="1" customWidth="1"/>
    <col min="26" max="26" width="12" style="21" bestFit="1" customWidth="1"/>
    <col min="27" max="16384" width="11.3984375" style="21"/>
  </cols>
  <sheetData>
    <row r="1" spans="1:29" ht="14.65" thickBot="1" x14ac:dyDescent="0.5">
      <c r="A1" s="147" t="s">
        <v>102</v>
      </c>
      <c r="B1" s="148"/>
      <c r="C1" s="148"/>
      <c r="D1" s="148"/>
      <c r="E1" s="149"/>
      <c r="G1" s="127" t="s">
        <v>105</v>
      </c>
      <c r="H1" s="128"/>
      <c r="I1" s="128"/>
      <c r="J1" s="128"/>
      <c r="K1" s="129"/>
      <c r="M1" s="150" t="s">
        <v>138</v>
      </c>
      <c r="N1" s="151"/>
      <c r="O1" s="151"/>
      <c r="P1" s="151"/>
      <c r="Q1" s="152"/>
      <c r="S1" s="105" t="s">
        <v>142</v>
      </c>
      <c r="T1" s="106"/>
      <c r="U1" s="106"/>
      <c r="V1" s="106"/>
      <c r="W1" s="107"/>
      <c r="Y1" s="73" t="s">
        <v>151</v>
      </c>
      <c r="Z1" s="74"/>
      <c r="AA1" s="74"/>
      <c r="AB1" s="74"/>
      <c r="AC1" s="75"/>
    </row>
    <row r="2" spans="1:29" x14ac:dyDescent="0.45">
      <c r="A2" s="46" t="s">
        <v>10</v>
      </c>
      <c r="B2" s="137" t="s">
        <v>11</v>
      </c>
      <c r="C2" s="137"/>
      <c r="D2" s="137"/>
      <c r="E2" s="138"/>
      <c r="G2" s="40" t="s">
        <v>10</v>
      </c>
      <c r="H2" s="119" t="s">
        <v>11</v>
      </c>
      <c r="I2" s="119"/>
      <c r="J2" s="119"/>
      <c r="K2" s="120"/>
      <c r="M2" s="28" t="s">
        <v>10</v>
      </c>
      <c r="N2" s="153" t="s">
        <v>139</v>
      </c>
      <c r="O2" s="153"/>
      <c r="P2" s="153"/>
      <c r="Q2" s="154"/>
      <c r="S2" s="58" t="s">
        <v>10</v>
      </c>
      <c r="T2" s="103" t="s">
        <v>144</v>
      </c>
      <c r="U2" s="103"/>
      <c r="V2" s="103"/>
      <c r="W2" s="104"/>
      <c r="Y2" s="66" t="s">
        <v>10</v>
      </c>
      <c r="Z2" s="76" t="s">
        <v>144</v>
      </c>
      <c r="AA2" s="76"/>
      <c r="AB2" s="76"/>
      <c r="AC2" s="77"/>
    </row>
    <row r="3" spans="1:29" x14ac:dyDescent="0.45">
      <c r="A3" s="46" t="s">
        <v>12</v>
      </c>
      <c r="B3" s="137" t="s">
        <v>13</v>
      </c>
      <c r="C3" s="137"/>
      <c r="D3" s="137"/>
      <c r="E3" s="138"/>
      <c r="G3" s="40" t="s">
        <v>12</v>
      </c>
      <c r="H3" s="119" t="s">
        <v>49</v>
      </c>
      <c r="I3" s="119"/>
      <c r="J3" s="119"/>
      <c r="K3" s="120"/>
      <c r="M3" s="28" t="s">
        <v>12</v>
      </c>
      <c r="N3" s="155"/>
      <c r="O3" s="156"/>
      <c r="P3" s="156"/>
      <c r="Q3" s="157"/>
      <c r="S3" s="58" t="s">
        <v>12</v>
      </c>
      <c r="T3" s="108" t="s">
        <v>145</v>
      </c>
      <c r="U3" s="109"/>
      <c r="V3" s="109"/>
      <c r="W3" s="110"/>
      <c r="Y3" s="66" t="s">
        <v>12</v>
      </c>
      <c r="Z3" s="78" t="s">
        <v>152</v>
      </c>
      <c r="AA3" s="79"/>
      <c r="AB3" s="79"/>
      <c r="AC3" s="80"/>
    </row>
    <row r="4" spans="1:29" x14ac:dyDescent="0.45">
      <c r="A4" s="46" t="s">
        <v>14</v>
      </c>
      <c r="B4" s="137" t="s">
        <v>15</v>
      </c>
      <c r="C4" s="137"/>
      <c r="D4" s="137"/>
      <c r="E4" s="138"/>
      <c r="G4" s="40" t="s">
        <v>14</v>
      </c>
      <c r="H4" s="119" t="s">
        <v>38</v>
      </c>
      <c r="I4" s="119"/>
      <c r="J4" s="119"/>
      <c r="K4" s="120"/>
      <c r="M4" s="28" t="s">
        <v>14</v>
      </c>
      <c r="N4" s="153" t="s">
        <v>140</v>
      </c>
      <c r="O4" s="153"/>
      <c r="P4" s="153"/>
      <c r="Q4" s="154"/>
      <c r="S4" s="58" t="s">
        <v>14</v>
      </c>
      <c r="T4" s="103" t="s">
        <v>140</v>
      </c>
      <c r="U4" s="103"/>
      <c r="V4" s="103"/>
      <c r="W4" s="104"/>
      <c r="Y4" s="66" t="s">
        <v>14</v>
      </c>
      <c r="Z4" s="76" t="s">
        <v>15</v>
      </c>
      <c r="AA4" s="76"/>
      <c r="AB4" s="76"/>
      <c r="AC4" s="77"/>
    </row>
    <row r="5" spans="1:29" x14ac:dyDescent="0.45">
      <c r="A5" s="46" t="s">
        <v>16</v>
      </c>
      <c r="B5" s="137" t="s">
        <v>17</v>
      </c>
      <c r="C5" s="137"/>
      <c r="D5" s="137"/>
      <c r="E5" s="138"/>
      <c r="G5" s="40" t="s">
        <v>16</v>
      </c>
      <c r="H5" s="119" t="s">
        <v>50</v>
      </c>
      <c r="I5" s="119"/>
      <c r="J5" s="119"/>
      <c r="K5" s="120"/>
      <c r="M5" s="28" t="s">
        <v>16</v>
      </c>
      <c r="N5" s="153" t="s">
        <v>141</v>
      </c>
      <c r="O5" s="153"/>
      <c r="P5" s="153"/>
      <c r="Q5" s="154"/>
      <c r="S5" s="58" t="s">
        <v>16</v>
      </c>
      <c r="T5" s="103" t="s">
        <v>146</v>
      </c>
      <c r="U5" s="103"/>
      <c r="V5" s="103"/>
      <c r="W5" s="104"/>
      <c r="Y5" s="66" t="s">
        <v>16</v>
      </c>
      <c r="Z5" s="76" t="s">
        <v>153</v>
      </c>
      <c r="AA5" s="76"/>
      <c r="AB5" s="76"/>
      <c r="AC5" s="77"/>
    </row>
    <row r="6" spans="1:29" x14ac:dyDescent="0.45">
      <c r="A6" s="46" t="s">
        <v>18</v>
      </c>
      <c r="B6" s="137" t="s">
        <v>19</v>
      </c>
      <c r="C6" s="137"/>
      <c r="D6" s="137"/>
      <c r="E6" s="138"/>
      <c r="G6" s="40" t="s">
        <v>18</v>
      </c>
      <c r="H6" s="119" t="s">
        <v>19</v>
      </c>
      <c r="I6" s="119"/>
      <c r="J6" s="119"/>
      <c r="K6" s="120"/>
      <c r="M6" s="28" t="s">
        <v>18</v>
      </c>
      <c r="N6" s="153" t="s">
        <v>19</v>
      </c>
      <c r="O6" s="153"/>
      <c r="P6" s="153"/>
      <c r="Q6" s="154"/>
      <c r="S6" s="58" t="s">
        <v>18</v>
      </c>
      <c r="T6" s="103" t="s">
        <v>19</v>
      </c>
      <c r="U6" s="103"/>
      <c r="V6" s="103"/>
      <c r="W6" s="104"/>
      <c r="Y6" s="66" t="s">
        <v>18</v>
      </c>
      <c r="Z6" s="76" t="s">
        <v>19</v>
      </c>
      <c r="AA6" s="76"/>
      <c r="AB6" s="76"/>
      <c r="AC6" s="77"/>
    </row>
    <row r="7" spans="1:29" x14ac:dyDescent="0.45">
      <c r="A7" s="46" t="s">
        <v>20</v>
      </c>
      <c r="B7" s="137" t="s">
        <v>21</v>
      </c>
      <c r="C7" s="137"/>
      <c r="D7" s="137"/>
      <c r="E7" s="138"/>
      <c r="G7" s="40" t="s">
        <v>20</v>
      </c>
      <c r="H7" s="119" t="s">
        <v>21</v>
      </c>
      <c r="I7" s="119"/>
      <c r="J7" s="119"/>
      <c r="K7" s="120"/>
      <c r="M7" s="28" t="s">
        <v>20</v>
      </c>
      <c r="N7" s="153" t="s">
        <v>21</v>
      </c>
      <c r="O7" s="153"/>
      <c r="P7" s="153"/>
      <c r="Q7" s="154"/>
      <c r="S7" s="58" t="s">
        <v>20</v>
      </c>
      <c r="T7" s="103" t="s">
        <v>21</v>
      </c>
      <c r="U7" s="103"/>
      <c r="V7" s="103"/>
      <c r="W7" s="104"/>
      <c r="Y7" s="66" t="s">
        <v>20</v>
      </c>
      <c r="Z7" s="76" t="s">
        <v>21</v>
      </c>
      <c r="AA7" s="76"/>
      <c r="AB7" s="76"/>
      <c r="AC7" s="77"/>
    </row>
    <row r="8" spans="1:29" x14ac:dyDescent="0.45">
      <c r="A8" s="46" t="s">
        <v>24</v>
      </c>
      <c r="B8" s="137">
        <v>1</v>
      </c>
      <c r="C8" s="137"/>
      <c r="D8" s="137"/>
      <c r="E8" s="138"/>
      <c r="G8" s="40" t="s">
        <v>24</v>
      </c>
      <c r="H8" s="119">
        <v>1</v>
      </c>
      <c r="I8" s="119"/>
      <c r="J8" s="119"/>
      <c r="K8" s="120"/>
      <c r="M8" s="28" t="s">
        <v>24</v>
      </c>
      <c r="N8" s="153">
        <v>1</v>
      </c>
      <c r="O8" s="153"/>
      <c r="P8" s="153"/>
      <c r="Q8" s="154"/>
      <c r="S8" s="58" t="s">
        <v>24</v>
      </c>
      <c r="T8" s="103">
        <v>1</v>
      </c>
      <c r="U8" s="103"/>
      <c r="V8" s="103"/>
      <c r="W8" s="104"/>
      <c r="Y8" s="66" t="s">
        <v>24</v>
      </c>
      <c r="Z8" s="76">
        <v>1</v>
      </c>
      <c r="AA8" s="76"/>
      <c r="AB8" s="76"/>
      <c r="AC8" s="77"/>
    </row>
    <row r="9" spans="1:29" x14ac:dyDescent="0.45">
      <c r="A9" s="46" t="s">
        <v>25</v>
      </c>
      <c r="B9" s="137">
        <v>1</v>
      </c>
      <c r="C9" s="137"/>
      <c r="D9" s="137"/>
      <c r="E9" s="138"/>
      <c r="G9" s="40" t="s">
        <v>25</v>
      </c>
      <c r="H9" s="119">
        <v>1</v>
      </c>
      <c r="I9" s="119"/>
      <c r="J9" s="119"/>
      <c r="K9" s="120"/>
      <c r="M9" s="28" t="s">
        <v>25</v>
      </c>
      <c r="N9" s="153">
        <v>1</v>
      </c>
      <c r="O9" s="153"/>
      <c r="P9" s="153"/>
      <c r="Q9" s="154"/>
      <c r="S9" s="58" t="s">
        <v>25</v>
      </c>
      <c r="T9" s="103">
        <v>1</v>
      </c>
      <c r="U9" s="103"/>
      <c r="V9" s="103"/>
      <c r="W9" s="104"/>
      <c r="Y9" s="66" t="s">
        <v>25</v>
      </c>
      <c r="Z9" s="76">
        <v>1</v>
      </c>
      <c r="AA9" s="76"/>
      <c r="AB9" s="76"/>
      <c r="AC9" s="77"/>
    </row>
    <row r="10" spans="1:29" ht="14.65" thickBot="1" x14ac:dyDescent="0.5">
      <c r="A10" s="47" t="s">
        <v>26</v>
      </c>
      <c r="B10" s="139">
        <v>1</v>
      </c>
      <c r="C10" s="139"/>
      <c r="D10" s="139"/>
      <c r="E10" s="140"/>
      <c r="G10" s="41" t="s">
        <v>26</v>
      </c>
      <c r="H10" s="111">
        <v>1</v>
      </c>
      <c r="I10" s="111"/>
      <c r="J10" s="111"/>
      <c r="K10" s="112"/>
      <c r="M10" s="29" t="s">
        <v>26</v>
      </c>
      <c r="N10" s="158">
        <v>1</v>
      </c>
      <c r="O10" s="158"/>
      <c r="P10" s="158"/>
      <c r="Q10" s="159"/>
      <c r="S10" s="59" t="s">
        <v>26</v>
      </c>
      <c r="T10" s="91">
        <v>1</v>
      </c>
      <c r="U10" s="91"/>
      <c r="V10" s="91"/>
      <c r="W10" s="92"/>
      <c r="Y10" s="71" t="s">
        <v>26</v>
      </c>
      <c r="Z10" s="81">
        <v>1</v>
      </c>
      <c r="AA10" s="81"/>
      <c r="AB10" s="81"/>
      <c r="AC10" s="82"/>
    </row>
    <row r="11" spans="1:29" ht="14.65" thickBot="1" x14ac:dyDescent="0.5">
      <c r="G11" s="22"/>
      <c r="H11" s="22"/>
      <c r="I11" s="22"/>
      <c r="J11" s="22"/>
      <c r="K11" s="22"/>
      <c r="M11" s="25"/>
      <c r="N11" s="25"/>
      <c r="O11" s="25"/>
      <c r="P11" s="25"/>
      <c r="Q11" s="25"/>
      <c r="S11" s="54"/>
      <c r="T11" s="54"/>
      <c r="U11" s="54"/>
      <c r="V11" s="54"/>
      <c r="W11" s="54"/>
      <c r="Y11" s="54"/>
      <c r="Z11" s="54"/>
      <c r="AA11" s="54"/>
      <c r="AB11" s="54"/>
      <c r="AC11" s="54"/>
    </row>
    <row r="12" spans="1:29" ht="14.65" thickBot="1" x14ac:dyDescent="0.5">
      <c r="A12" s="141" t="s">
        <v>88</v>
      </c>
      <c r="B12" s="142"/>
      <c r="C12" s="142"/>
      <c r="D12" s="142"/>
      <c r="E12" s="143"/>
      <c r="G12" s="121" t="s">
        <v>88</v>
      </c>
      <c r="H12" s="122"/>
      <c r="I12" s="122"/>
      <c r="J12" s="122"/>
      <c r="K12" s="123"/>
      <c r="M12" s="165" t="s">
        <v>88</v>
      </c>
      <c r="N12" s="166"/>
      <c r="O12" s="166"/>
      <c r="P12" s="166"/>
      <c r="Q12" s="167"/>
      <c r="S12" s="93" t="s">
        <v>88</v>
      </c>
      <c r="T12" s="94"/>
      <c r="U12" s="94"/>
      <c r="V12" s="94"/>
      <c r="W12" s="95"/>
      <c r="Y12" s="83" t="s">
        <v>88</v>
      </c>
      <c r="Z12" s="84"/>
      <c r="AA12" s="84"/>
      <c r="AB12" s="84"/>
      <c r="AC12" s="85"/>
    </row>
    <row r="13" spans="1:29" ht="15" customHeight="1" x14ac:dyDescent="0.45">
      <c r="A13" s="34" t="s">
        <v>89</v>
      </c>
      <c r="B13" s="36">
        <v>100000</v>
      </c>
      <c r="C13" s="144" t="s">
        <v>90</v>
      </c>
      <c r="D13" s="145"/>
      <c r="E13" s="146"/>
      <c r="G13" s="40" t="s">
        <v>89</v>
      </c>
      <c r="H13" s="42">
        <v>100000</v>
      </c>
      <c r="I13" s="126" t="s">
        <v>90</v>
      </c>
      <c r="J13" s="115"/>
      <c r="K13" s="116"/>
      <c r="M13" s="28" t="s">
        <v>89</v>
      </c>
      <c r="N13" s="30">
        <v>724.65995699999996</v>
      </c>
      <c r="O13" s="168" t="s">
        <v>90</v>
      </c>
      <c r="P13" s="169"/>
      <c r="Q13" s="170"/>
      <c r="S13" s="58" t="s">
        <v>150</v>
      </c>
      <c r="T13" s="60">
        <v>0.93859999999999999</v>
      </c>
      <c r="U13" s="96" t="s">
        <v>90</v>
      </c>
      <c r="V13" s="97"/>
      <c r="W13" s="98"/>
      <c r="Y13" s="66" t="s">
        <v>150</v>
      </c>
      <c r="Z13" s="67">
        <v>0.76900000000000002</v>
      </c>
      <c r="AA13" s="86" t="s">
        <v>90</v>
      </c>
      <c r="AB13" s="87"/>
      <c r="AC13" s="88"/>
    </row>
    <row r="14" spans="1:29" ht="14.65" thickBot="1" x14ac:dyDescent="0.5">
      <c r="A14" s="34" t="s">
        <v>91</v>
      </c>
      <c r="B14" s="36">
        <v>303.14999999999998</v>
      </c>
      <c r="C14" s="145"/>
      <c r="D14" s="145"/>
      <c r="E14" s="146"/>
      <c r="G14" s="40" t="s">
        <v>91</v>
      </c>
      <c r="H14" s="42">
        <v>303.14999999999998</v>
      </c>
      <c r="I14" s="115"/>
      <c r="J14" s="115"/>
      <c r="K14" s="116"/>
      <c r="M14" s="28" t="s">
        <v>91</v>
      </c>
      <c r="N14" s="30">
        <v>323.14999999999998</v>
      </c>
      <c r="O14" s="169"/>
      <c r="P14" s="169"/>
      <c r="Q14" s="170"/>
      <c r="S14" s="58" t="s">
        <v>91</v>
      </c>
      <c r="T14" s="60">
        <v>353.15</v>
      </c>
      <c r="U14" s="97"/>
      <c r="V14" s="97"/>
      <c r="W14" s="98"/>
      <c r="Y14" s="66" t="s">
        <v>91</v>
      </c>
      <c r="Z14" s="67">
        <v>313.2</v>
      </c>
      <c r="AA14" s="87"/>
      <c r="AB14" s="87"/>
      <c r="AC14" s="88"/>
    </row>
    <row r="15" spans="1:29" ht="7.5" customHeight="1" thickBot="1" x14ac:dyDescent="0.5">
      <c r="A15" s="37"/>
      <c r="B15" s="38"/>
      <c r="C15" s="133"/>
      <c r="D15" s="133"/>
      <c r="E15" s="134"/>
      <c r="G15" s="43"/>
      <c r="H15" s="44"/>
      <c r="I15" s="117"/>
      <c r="J15" s="117"/>
      <c r="K15" s="118"/>
      <c r="M15" s="31"/>
      <c r="N15" s="32"/>
      <c r="O15" s="161"/>
      <c r="P15" s="161"/>
      <c r="Q15" s="162"/>
      <c r="S15" s="61"/>
      <c r="T15" s="62"/>
      <c r="U15" s="99"/>
      <c r="V15" s="99"/>
      <c r="W15" s="100"/>
      <c r="Y15" s="68"/>
      <c r="Z15" s="69"/>
      <c r="AA15" s="89"/>
      <c r="AB15" s="89"/>
      <c r="AC15" s="90"/>
    </row>
    <row r="16" spans="1:29" ht="14.65" thickBot="1" x14ac:dyDescent="0.5">
      <c r="A16" s="34" t="s">
        <v>92</v>
      </c>
      <c r="B16" s="36" t="e">
        <f>ws_direct_ads_w_pT(B$13,B$14,B$2,B$3,B$4,B$5,B$8,B$6,B$9,B$7,B$10)</f>
        <v>#VALUE!</v>
      </c>
      <c r="C16" s="131" t="s">
        <v>93</v>
      </c>
      <c r="D16" s="131"/>
      <c r="E16" s="132"/>
      <c r="G16" s="40" t="s">
        <v>92</v>
      </c>
      <c r="H16" s="42" t="e">
        <f>ws_direct_ads_w_pT(H$13,H$14,H$2,H$3,H$4,H$5,H$8,H$6,H$9,H$7,H$10)</f>
        <v>#VALUE!</v>
      </c>
      <c r="I16" s="119" t="s">
        <v>93</v>
      </c>
      <c r="J16" s="119"/>
      <c r="K16" s="120"/>
      <c r="M16" s="28" t="s">
        <v>132</v>
      </c>
      <c r="N16" s="30" t="e">
        <f>ws_direct_abs_X_pT(N13,N14,$N$2,$N$3,$N$4,$N$5,$N$8,$N$6,$N$9,$N$7,$N$10)</f>
        <v>#VALUE!</v>
      </c>
      <c r="O16" s="153" t="s">
        <v>93</v>
      </c>
      <c r="P16" s="153"/>
      <c r="Q16" s="154"/>
      <c r="S16" s="63" t="s">
        <v>143</v>
      </c>
      <c r="T16" s="64" t="e">
        <f>ws_direct_abs_g_Txv1v2(T14,T13,-1,-1,$T$2,$T$3,$T$4,$T$5,$T$8,$T$6,$T$9,$T$7,$T$10)</f>
        <v>#VALUE!</v>
      </c>
      <c r="U16" s="101" t="s">
        <v>148</v>
      </c>
      <c r="V16" s="101"/>
      <c r="W16" s="102"/>
      <c r="Y16" s="70" t="s">
        <v>147</v>
      </c>
      <c r="Z16" s="69" t="e">
        <f>ws_direct_abs_p_Tvx(Z14,0.5/1237.1,Z13,$Z$2,$Z$3,$Z$4,$Z$5,$Z$8,$Z$6,$Z$9,$Z$7,$Z$10)</f>
        <v>#VALUE!</v>
      </c>
      <c r="AA16" s="89" t="s">
        <v>148</v>
      </c>
      <c r="AB16" s="89"/>
      <c r="AC16" s="90"/>
    </row>
    <row r="17" spans="1:29" x14ac:dyDescent="0.45">
      <c r="A17" s="34" t="s">
        <v>94</v>
      </c>
      <c r="B17" s="36" t="e">
        <f>ws_direct_ads_p_wT(B$16,B$14,B$2,B$3,B$4,B$5,B$8,B$6,B$9,B$7,B$10)</f>
        <v>#VALUE!</v>
      </c>
      <c r="C17" s="131" t="s">
        <v>95</v>
      </c>
      <c r="D17" s="131"/>
      <c r="E17" s="132"/>
      <c r="G17" s="40" t="s">
        <v>94</v>
      </c>
      <c r="H17" s="42" t="e">
        <f>ws_direct_ads_p_wT(H$16,H$14,H$2,H$3,H$4,H$5,H$8,H$6,H$9,H$7,H$10)</f>
        <v>#VALUE!</v>
      </c>
      <c r="I17" s="119" t="s">
        <v>95</v>
      </c>
      <c r="J17" s="119"/>
      <c r="K17" s="120"/>
      <c r="M17" s="28" t="s">
        <v>94</v>
      </c>
      <c r="N17" s="30" t="e">
        <f>ws_direct_abs_p_XT(N16,N14,$N$2,$N$3,$N$4,$N$5,$N$8,$N$6,$N$9,$N$7,$N$10)</f>
        <v>#VALUE!</v>
      </c>
      <c r="O17" s="153" t="s">
        <v>133</v>
      </c>
      <c r="P17" s="153"/>
      <c r="Q17" s="154"/>
      <c r="S17" s="58" t="s">
        <v>147</v>
      </c>
      <c r="T17" s="60" t="e">
        <f>ws_direct_abs_p_Txv1v2psat(T14,T13,-1,-1,ws_direct_ref_p_sat_T(T14,$T$2,$T$3,$T$4,$T$5,$T$8,$T$6,$T$9,$T$7,$T$10),$T$2,$T$3,$T$4,$T$5,$T$8,$T$6,$T$9,$T$7,$T$10)</f>
        <v>#VALUE!</v>
      </c>
      <c r="U17" s="103" t="s">
        <v>149</v>
      </c>
      <c r="V17" s="103"/>
      <c r="W17" s="104"/>
      <c r="Y17" s="56"/>
      <c r="Z17" s="57"/>
      <c r="AA17" s="72"/>
      <c r="AB17" s="72"/>
      <c r="AC17" s="72"/>
    </row>
    <row r="18" spans="1:29" ht="14.65" thickBot="1" x14ac:dyDescent="0.5">
      <c r="A18" s="34" t="s">
        <v>96</v>
      </c>
      <c r="B18" s="36" t="e">
        <f>ws_direct_ads_T_pw(B$13,B$16,B$2,B$3,B$4,B$5,B$8,B$6,B$9,B$7,B$10)</f>
        <v>#VALUE!</v>
      </c>
      <c r="C18" s="131" t="s">
        <v>97</v>
      </c>
      <c r="D18" s="131"/>
      <c r="E18" s="132"/>
      <c r="G18" s="40" t="s">
        <v>96</v>
      </c>
      <c r="H18" s="42" t="e">
        <f>ws_direct_ads_T_pw(H$13,H$16,H$2,H$3,H$4,H$5,H$8,H$6,H$9,H$7,H$10)</f>
        <v>#VALUE!</v>
      </c>
      <c r="I18" s="119" t="s">
        <v>97</v>
      </c>
      <c r="J18" s="119"/>
      <c r="K18" s="120"/>
      <c r="M18" s="28" t="s">
        <v>96</v>
      </c>
      <c r="N18" s="30" t="e">
        <f>ws_direct_abs_T_pX(N13,N16,$N$2,$N$3,$N$4,$N$5,$N$8,$N$6,$N$9,$N$7,$N$10)</f>
        <v>#VALUE!</v>
      </c>
      <c r="O18" s="153" t="s">
        <v>134</v>
      </c>
      <c r="P18" s="153"/>
      <c r="Q18" s="154"/>
      <c r="S18" s="59" t="s">
        <v>147</v>
      </c>
      <c r="T18" s="65" t="e">
        <f>ws_direct_abs_p_Txv1v2(T14,T13,-1,-1,$T$2,$T$3,$T$4,$T$5,$T$8,$T$6,$T$9,$T$7,$T$10)</f>
        <v>#VALUE!</v>
      </c>
      <c r="U18" s="91" t="s">
        <v>148</v>
      </c>
      <c r="V18" s="91"/>
      <c r="W18" s="92"/>
      <c r="Y18" s="56"/>
      <c r="Z18" s="57"/>
      <c r="AA18" s="72"/>
      <c r="AB18" s="72"/>
      <c r="AC18" s="72"/>
    </row>
    <row r="19" spans="1:29" ht="7.5" customHeight="1" thickBot="1" x14ac:dyDescent="0.5">
      <c r="A19" s="37"/>
      <c r="B19" s="38"/>
      <c r="C19" s="133"/>
      <c r="D19" s="133"/>
      <c r="E19" s="134"/>
      <c r="G19" s="43"/>
      <c r="H19" s="44"/>
      <c r="I19" s="117"/>
      <c r="J19" s="117"/>
      <c r="K19" s="118"/>
      <c r="M19" s="31"/>
      <c r="N19" s="32"/>
      <c r="O19" s="161"/>
      <c r="P19" s="161"/>
      <c r="Q19" s="162"/>
      <c r="S19" s="57"/>
      <c r="T19" s="57"/>
      <c r="U19" s="72"/>
      <c r="V19" s="72"/>
      <c r="W19" s="72"/>
    </row>
    <row r="20" spans="1:29" x14ac:dyDescent="0.45">
      <c r="A20" s="34" t="s">
        <v>98</v>
      </c>
      <c r="B20" s="36" t="e">
        <f>ws_direct_ads_dw_dp_pT(B$13,B$14,B$2,B$3,B$4,B$5,B$8,B$6,B$9,B$7,B$10)</f>
        <v>#VALUE!</v>
      </c>
      <c r="C20" s="131" t="s">
        <v>93</v>
      </c>
      <c r="D20" s="131"/>
      <c r="E20" s="132"/>
      <c r="G20" s="40" t="s">
        <v>98</v>
      </c>
      <c r="H20" s="42" t="e">
        <f>ws_direct_ads_dw_dp_pT(H$13,H$14,H$2,H$3,H$4,H$5,H$8,H$6,H$9,H$7,H$10)</f>
        <v>#VALUE!</v>
      </c>
      <c r="I20" s="119" t="s">
        <v>93</v>
      </c>
      <c r="J20" s="119"/>
      <c r="K20" s="120"/>
      <c r="M20" s="50" t="s">
        <v>135</v>
      </c>
      <c r="N20" s="51" t="e">
        <f>ws_direct_abs_dX_dp_pT(N13,N14,$N$2,$N$3,$N$4,$N$5,$N$8,$N$6,$N$9,$N$7,$N$10)</f>
        <v>#VALUE!</v>
      </c>
      <c r="O20" s="163" t="s">
        <v>93</v>
      </c>
      <c r="P20" s="163"/>
      <c r="Q20" s="164"/>
      <c r="S20" s="56"/>
      <c r="T20" s="57"/>
      <c r="U20" s="72"/>
      <c r="V20" s="72"/>
      <c r="W20" s="72"/>
    </row>
    <row r="21" spans="1:29" x14ac:dyDescent="0.45">
      <c r="A21" s="34" t="s">
        <v>99</v>
      </c>
      <c r="B21" s="36" t="e">
        <f>ws_direct_ads_dw_dT_pT(B$13,B$14,B$2,B$3,B$4,B$5,B$8,B$6,B$9,B$7,B$10)</f>
        <v>#VALUE!</v>
      </c>
      <c r="C21" s="131" t="s">
        <v>93</v>
      </c>
      <c r="D21" s="131"/>
      <c r="E21" s="132"/>
      <c r="G21" s="40" t="s">
        <v>99</v>
      </c>
      <c r="H21" s="42" t="e">
        <f>ws_direct_ads_dw_dT_pT(H$13,H$14,H$2,H$3,H$4,H$5,H$8,H$6,H$9,H$7,H$10)</f>
        <v>#VALUE!</v>
      </c>
      <c r="I21" s="119" t="s">
        <v>93</v>
      </c>
      <c r="J21" s="119"/>
      <c r="K21" s="120"/>
      <c r="M21" s="28" t="s">
        <v>136</v>
      </c>
      <c r="N21" s="55" t="e">
        <f>ws_direct_abs_dX_dT_pT(N13,N14,$N$2,$N$3,$N$4,$N$5,$N$8,$N$6,$N$9,$N$7,$N$10)</f>
        <v>#VALUE!</v>
      </c>
      <c r="O21" s="153" t="s">
        <v>93</v>
      </c>
      <c r="P21" s="153"/>
      <c r="Q21" s="154"/>
      <c r="S21" s="56"/>
      <c r="T21" s="57"/>
      <c r="U21" s="72"/>
      <c r="V21" s="72"/>
      <c r="W21" s="72"/>
    </row>
    <row r="22" spans="1:29" x14ac:dyDescent="0.45">
      <c r="A22" s="34" t="s">
        <v>100</v>
      </c>
      <c r="B22" s="36" t="e">
        <f>ws_direct_ads_dp_dw_wT(B$16,B$14,B$2,B$3,B$4,B$5,B$8,B$6,B$9,B$7,B$10)</f>
        <v>#VALUE!</v>
      </c>
      <c r="C22" s="131" t="s">
        <v>95</v>
      </c>
      <c r="D22" s="131"/>
      <c r="E22" s="132"/>
      <c r="G22" s="40" t="s">
        <v>100</v>
      </c>
      <c r="H22" s="42" t="e">
        <f>ws_direct_ads_dp_dw_wT(H$16,H$14,H$2,H$3,H$4,H$5,H$8,H$6,H$9,H$7,H$10)</f>
        <v>#VALUE!</v>
      </c>
      <c r="I22" s="119" t="s">
        <v>95</v>
      </c>
      <c r="J22" s="119"/>
      <c r="K22" s="120"/>
      <c r="M22" s="28" t="s">
        <v>137</v>
      </c>
      <c r="N22" s="30" t="e">
        <f>ws_direct_abs_dp_dX_XT(N16,N14,$N$2,$N$3,$N$4,$N$5,$N$8,$N$6,$N$9,$N$7,$N$10)</f>
        <v>#VALUE!</v>
      </c>
      <c r="O22" s="153" t="s">
        <v>133</v>
      </c>
      <c r="P22" s="153"/>
      <c r="Q22" s="154"/>
      <c r="S22" s="56"/>
      <c r="T22" s="57"/>
      <c r="U22" s="72"/>
      <c r="V22" s="72"/>
      <c r="W22" s="72"/>
    </row>
    <row r="23" spans="1:29" ht="14.65" thickBot="1" x14ac:dyDescent="0.5">
      <c r="A23" s="34" t="s">
        <v>101</v>
      </c>
      <c r="B23" s="36" t="e">
        <f>ws_direct_ads_dp_dT_wT(B$16,B$14,B$2,B$3,B$4,B$5,B$8,B$6,B$9,B$7,B$10)</f>
        <v>#VALUE!</v>
      </c>
      <c r="C23" s="131" t="s">
        <v>95</v>
      </c>
      <c r="D23" s="131"/>
      <c r="E23" s="132"/>
      <c r="G23" s="40" t="s">
        <v>101</v>
      </c>
      <c r="H23" s="42" t="e">
        <f>ws_direct_ads_dp_dT_wT(H$16,H$14,H$2,H$3,H$4,H$5,H$8,H$6,H$9,H$7,H$10)</f>
        <v>#VALUE!</v>
      </c>
      <c r="I23" s="119" t="s">
        <v>95</v>
      </c>
      <c r="J23" s="119"/>
      <c r="K23" s="120"/>
      <c r="M23" s="29" t="s">
        <v>101</v>
      </c>
      <c r="N23" s="33" t="e">
        <f>ws_direct_abs_dp_dT_XT(N16,N14,$N$2,$N$3,$N$4,$N$5,$N$8,$N$6,$N$9,$N$7,$N$10)</f>
        <v>#VALUE!</v>
      </c>
      <c r="O23" s="158" t="s">
        <v>133</v>
      </c>
      <c r="P23" s="158"/>
      <c r="Q23" s="159"/>
      <c r="S23" s="56"/>
      <c r="T23" s="57"/>
      <c r="U23" s="72"/>
      <c r="V23" s="72"/>
      <c r="W23" s="72"/>
    </row>
    <row r="24" spans="1:29" ht="7.5" customHeight="1" thickBot="1" x14ac:dyDescent="0.5">
      <c r="A24" s="37"/>
      <c r="B24" s="38"/>
      <c r="C24" s="133"/>
      <c r="D24" s="133"/>
      <c r="E24" s="134"/>
      <c r="G24" s="43"/>
      <c r="H24" s="44"/>
      <c r="I24" s="117"/>
      <c r="J24" s="117"/>
      <c r="K24" s="118"/>
      <c r="M24" s="24"/>
      <c r="N24" s="24"/>
      <c r="O24" s="160"/>
      <c r="P24" s="160"/>
      <c r="Q24" s="160"/>
    </row>
    <row r="25" spans="1:29" ht="14.65" thickBot="1" x14ac:dyDescent="0.5">
      <c r="A25" s="35" t="s">
        <v>103</v>
      </c>
      <c r="B25" s="39" t="e">
        <f>ws_direct_ads_piStar_pyxgTM(B$13,1,1,1,B$14,0.044011,B$2,B$3,B$4,B$5,B$8,B$6,B$9,B$7,B$10)</f>
        <v>#VALUE!</v>
      </c>
      <c r="C25" s="135" t="s">
        <v>104</v>
      </c>
      <c r="D25" s="135"/>
      <c r="E25" s="136"/>
      <c r="G25" s="41" t="s">
        <v>103</v>
      </c>
      <c r="H25" s="45" t="e">
        <f>ws_direct_ads_piStar_pyxgTM(H$13,1,1,1,H$14,0.0441,H$2,H$3,H$4,H$5,H$8,H$6,H$9,H$7,H$10)</f>
        <v>#VALUE!</v>
      </c>
      <c r="I25" s="111" t="s">
        <v>104</v>
      </c>
      <c r="J25" s="111"/>
      <c r="K25" s="112"/>
      <c r="M25" s="48"/>
      <c r="N25" s="24"/>
      <c r="O25" s="49"/>
      <c r="P25" s="49"/>
      <c r="Q25" s="49"/>
    </row>
    <row r="26" spans="1:29" ht="14.65" thickBot="1" x14ac:dyDescent="0.5">
      <c r="C26" s="130"/>
      <c r="D26" s="130"/>
      <c r="E26" s="130"/>
    </row>
    <row r="27" spans="1:29" ht="15" customHeight="1" thickBot="1" x14ac:dyDescent="0.5">
      <c r="A27" s="22"/>
      <c r="B27" s="22"/>
      <c r="C27" s="23"/>
      <c r="D27" s="23"/>
      <c r="E27" s="23"/>
      <c r="G27" s="121" t="s">
        <v>106</v>
      </c>
      <c r="H27" s="122"/>
      <c r="I27" s="122"/>
      <c r="J27" s="122"/>
      <c r="K27" s="123"/>
    </row>
    <row r="28" spans="1:29" ht="15" customHeight="1" x14ac:dyDescent="0.45">
      <c r="A28" s="22"/>
      <c r="B28" s="22"/>
      <c r="C28" s="23"/>
      <c r="D28" s="23"/>
      <c r="E28" s="23"/>
      <c r="G28" s="52" t="s">
        <v>108</v>
      </c>
      <c r="H28" s="53" t="e">
        <f>ws_direct_ref_p_sat_T(H$14,H$2,H$3,H$4,H$5,H$8,H$6,H$9,H$7,H$10)</f>
        <v>#VALUE!</v>
      </c>
      <c r="I28" s="113" t="s">
        <v>109</v>
      </c>
      <c r="J28" s="113"/>
      <c r="K28" s="114"/>
    </row>
    <row r="29" spans="1:29" s="22" customFormat="1" ht="15" customHeight="1" x14ac:dyDescent="0.45">
      <c r="G29" s="40" t="s">
        <v>107</v>
      </c>
      <c r="H29" s="42" t="e">
        <f>ws_direct_ref_rho_l_T(H$14,H$2,H$3,H$4,H$5,H$8,H$6,H$9,H$7,H$10)</f>
        <v>#VALUE!</v>
      </c>
      <c r="I29" s="115" t="s">
        <v>109</v>
      </c>
      <c r="J29" s="115"/>
      <c r="K29" s="116"/>
    </row>
    <row r="30" spans="1:29" s="22" customFormat="1" ht="15" customHeight="1" x14ac:dyDescent="0.45">
      <c r="G30" s="40" t="s">
        <v>110</v>
      </c>
      <c r="H30" s="42" t="e">
        <f>ws_direct_ref_dp_sat_dT_T(H$14,H$2,H$3,H$4,H$5,H$8,H$6,H$9,H$7,H$10)</f>
        <v>#VALUE!</v>
      </c>
      <c r="I30" s="115" t="s">
        <v>109</v>
      </c>
      <c r="J30" s="115"/>
      <c r="K30" s="116"/>
    </row>
    <row r="31" spans="1:29" ht="14.65" thickBot="1" x14ac:dyDescent="0.5">
      <c r="A31" s="22"/>
      <c r="B31" s="22"/>
      <c r="C31" s="23"/>
      <c r="D31" s="23"/>
      <c r="E31" s="23"/>
      <c r="G31" s="41" t="s">
        <v>111</v>
      </c>
      <c r="H31" s="45" t="e">
        <f>ws_direct_ref_drho_l_dT_T(H$14,H$2,H$3,H$4,H$5,H$8,H$6,H$9,H$7,H$10)</f>
        <v>#VALUE!</v>
      </c>
      <c r="I31" s="124" t="s">
        <v>109</v>
      </c>
      <c r="J31" s="124"/>
      <c r="K31" s="125"/>
    </row>
    <row r="32" spans="1:29" s="22" customFormat="1" ht="7.5" customHeight="1" thickBot="1" x14ac:dyDescent="0.5">
      <c r="C32" s="23"/>
      <c r="D32" s="23"/>
      <c r="E32" s="23"/>
      <c r="G32" s="43"/>
      <c r="H32" s="44"/>
      <c r="I32" s="117"/>
      <c r="J32" s="117"/>
      <c r="K32" s="118"/>
    </row>
    <row r="33" spans="1:11" s="22" customFormat="1" x14ac:dyDescent="0.45">
      <c r="C33" s="23"/>
      <c r="D33" s="23"/>
      <c r="E33" s="23"/>
      <c r="G33" s="40" t="s">
        <v>112</v>
      </c>
      <c r="H33" s="42" t="e">
        <f>8.314462618*H$18*LN(H$28/H$13)</f>
        <v>#VALUE!</v>
      </c>
      <c r="I33" s="119" t="s">
        <v>114</v>
      </c>
      <c r="J33" s="119"/>
      <c r="K33" s="120"/>
    </row>
    <row r="34" spans="1:11" s="22" customFormat="1" x14ac:dyDescent="0.45">
      <c r="C34" s="23"/>
      <c r="D34" s="23"/>
      <c r="E34" s="23"/>
      <c r="G34" s="40" t="s">
        <v>113</v>
      </c>
      <c r="H34" s="42" t="e">
        <f>ws_direct_ads_W_ARho(H$33,H$29,H$2,H$3,H$4,H$5,H$8,H$6,H$9,H$7,H$10)</f>
        <v>#VALUE!</v>
      </c>
      <c r="I34" s="119" t="s">
        <v>116</v>
      </c>
      <c r="J34" s="119"/>
      <c r="K34" s="120"/>
    </row>
    <row r="35" spans="1:11" s="22" customFormat="1" x14ac:dyDescent="0.45">
      <c r="C35" s="23"/>
      <c r="D35" s="23"/>
      <c r="E35" s="23"/>
      <c r="G35" s="40" t="s">
        <v>112</v>
      </c>
      <c r="H35" s="42" t="e">
        <f>ws_direct_ads_A_WRho(H$34,H$29,H$2,H$3,H$4,H$5,H$8,H$6,H$9,H$7,H$10)</f>
        <v>#VALUE!</v>
      </c>
      <c r="I35" s="119" t="s">
        <v>117</v>
      </c>
      <c r="J35" s="119"/>
      <c r="K35" s="120"/>
    </row>
    <row r="36" spans="1:11" s="22" customFormat="1" x14ac:dyDescent="0.45">
      <c r="C36" s="23"/>
      <c r="D36" s="23"/>
      <c r="E36" s="23"/>
      <c r="G36" s="40" t="s">
        <v>115</v>
      </c>
      <c r="H36" s="42" t="e">
        <f>ws_direct_ads_dW_dA_ARho(H$33,H$29,H$2,H$3,H$4,H$5,H$8,H$6,H$9,H$7,H$10)</f>
        <v>#VALUE!</v>
      </c>
      <c r="I36" s="119" t="s">
        <v>116</v>
      </c>
      <c r="J36" s="119"/>
      <c r="K36" s="120"/>
    </row>
    <row r="37" spans="1:11" s="22" customFormat="1" ht="14.65" thickBot="1" x14ac:dyDescent="0.5">
      <c r="C37" s="23"/>
      <c r="D37" s="23"/>
      <c r="E37" s="23"/>
      <c r="G37" s="40" t="s">
        <v>118</v>
      </c>
      <c r="H37" s="42" t="e">
        <f>ws_direct_ads_dA_dW_WRho(H$34,H$29,H$2,H$3,H$4,H$5,H$8,H$6,H$9,H$7,H$10)</f>
        <v>#VALUE!</v>
      </c>
      <c r="I37" s="119" t="s">
        <v>117</v>
      </c>
      <c r="J37" s="119"/>
      <c r="K37" s="120"/>
    </row>
    <row r="38" spans="1:11" ht="7.5" customHeight="1" thickBot="1" x14ac:dyDescent="0.5">
      <c r="A38" s="22"/>
      <c r="B38" s="22"/>
      <c r="C38" s="23"/>
      <c r="D38" s="23"/>
      <c r="E38" s="23"/>
      <c r="G38" s="43"/>
      <c r="H38" s="44"/>
      <c r="I38" s="117"/>
      <c r="J38" s="117"/>
      <c r="K38" s="118"/>
    </row>
    <row r="39" spans="1:11" x14ac:dyDescent="0.45">
      <c r="A39" s="22"/>
      <c r="B39" s="22"/>
      <c r="C39" s="23"/>
      <c r="D39" s="23"/>
      <c r="E39" s="23"/>
      <c r="G39" s="40" t="s">
        <v>92</v>
      </c>
      <c r="H39" s="42" t="e">
        <f>ws_direct_ads_w_pTpsatRho(H$13,H$14,H$28,H$29,H$2,H$3,H$4,H$5,H$8,H$6,H$9,H$7,H$10)</f>
        <v>#VALUE!</v>
      </c>
      <c r="I39" s="119" t="s">
        <v>127</v>
      </c>
      <c r="J39" s="119"/>
      <c r="K39" s="120"/>
    </row>
    <row r="40" spans="1:11" x14ac:dyDescent="0.45">
      <c r="A40" s="22"/>
      <c r="B40" s="22"/>
      <c r="C40" s="23"/>
      <c r="D40" s="23"/>
      <c r="E40" s="23"/>
      <c r="G40" s="40" t="s">
        <v>94</v>
      </c>
      <c r="H40" s="42" t="e">
        <f>ws_direct_ads_p_wTpsatRho(H$16,H$14,H$28,H$29,H$2,H$3,H$4,H$5,H$8,H$6,H$9,H$7,H$10)</f>
        <v>#VALUE!</v>
      </c>
      <c r="I40" s="119" t="s">
        <v>128</v>
      </c>
      <c r="J40" s="119"/>
      <c r="K40" s="120"/>
    </row>
    <row r="41" spans="1:11" ht="14.65" thickBot="1" x14ac:dyDescent="0.5">
      <c r="A41" s="22"/>
      <c r="B41" s="22"/>
      <c r="C41" s="23"/>
      <c r="D41" s="23"/>
      <c r="E41" s="23"/>
      <c r="G41" s="40" t="s">
        <v>96</v>
      </c>
      <c r="H41" s="42" t="e">
        <f>ws_direct_ads_T_pwpsatRho(H$13,H$16,H$28,H$29,H$2,H$3,H$4,H$5,H$8,H$6,H$9,H$7,H$10)</f>
        <v>#VALUE!</v>
      </c>
      <c r="I41" s="119" t="s">
        <v>129</v>
      </c>
      <c r="J41" s="119"/>
      <c r="K41" s="120"/>
    </row>
    <row r="42" spans="1:11" ht="7.5" customHeight="1" thickBot="1" x14ac:dyDescent="0.5">
      <c r="A42" s="22"/>
      <c r="B42" s="22"/>
      <c r="C42" s="23"/>
      <c r="D42" s="23"/>
      <c r="E42" s="23"/>
      <c r="G42" s="43"/>
      <c r="H42" s="44"/>
      <c r="I42" s="117"/>
      <c r="J42" s="117"/>
      <c r="K42" s="118"/>
    </row>
    <row r="43" spans="1:11" x14ac:dyDescent="0.45">
      <c r="A43" s="22"/>
      <c r="B43" s="22"/>
      <c r="C43" s="23"/>
      <c r="D43" s="23"/>
      <c r="E43" s="23"/>
      <c r="G43" s="40" t="s">
        <v>98</v>
      </c>
      <c r="H43" s="42" t="e">
        <f>ws_direct_ads_dw_dp_pTpsatRho(H$13,H$14,H$28,H$29,H$2,H$3,H$4,H$5,H$8,H$6,H$9,H$7,H$10)</f>
        <v>#VALUE!</v>
      </c>
      <c r="I43" s="119" t="s">
        <v>127</v>
      </c>
      <c r="J43" s="119"/>
      <c r="K43" s="120"/>
    </row>
    <row r="44" spans="1:11" x14ac:dyDescent="0.45">
      <c r="A44" s="22"/>
      <c r="B44" s="22"/>
      <c r="C44" s="23"/>
      <c r="D44" s="23"/>
      <c r="E44" s="23"/>
      <c r="G44" s="40" t="s">
        <v>99</v>
      </c>
      <c r="H44" s="42" t="e">
        <f>ws_direct_ads_dw_dT_pTpsatRho(H$13,H$14,H$28,H$29,H$30,H$31,H$2,H$3,H$4,H$5,H$8,H$6,H$9,H$7,H$10)</f>
        <v>#VALUE!</v>
      </c>
      <c r="I44" s="119" t="s">
        <v>127</v>
      </c>
      <c r="J44" s="119"/>
      <c r="K44" s="120"/>
    </row>
    <row r="45" spans="1:11" x14ac:dyDescent="0.45">
      <c r="A45" s="22"/>
      <c r="B45" s="22"/>
      <c r="C45" s="23"/>
      <c r="D45" s="23"/>
      <c r="E45" s="23"/>
      <c r="G45" s="40" t="s">
        <v>100</v>
      </c>
      <c r="H45" s="42" t="e">
        <f>ws_direct_ads_dp_dw_wTpsatRho(H$16,H$14,H$28,H$29,H$2,H$3,H$4,H$5,H$8,H$6,H$9,H$7,H$10)</f>
        <v>#VALUE!</v>
      </c>
      <c r="I45" s="119" t="s">
        <v>128</v>
      </c>
      <c r="J45" s="119"/>
      <c r="K45" s="120"/>
    </row>
    <row r="46" spans="1:11" ht="14.65" thickBot="1" x14ac:dyDescent="0.5">
      <c r="A46" s="22"/>
      <c r="B46" s="22"/>
      <c r="C46" s="23"/>
      <c r="D46" s="23"/>
      <c r="E46" s="23"/>
      <c r="G46" s="40" t="s">
        <v>101</v>
      </c>
      <c r="H46" s="42" t="e">
        <f>ws_direct_ads_dp_dT_wTpsatRho(H$16,H$14,H$28,H$29,H$30,H$31,H$2,H$3,H$4,H$5,H$8,H$6,H$9,H$7,H$10)</f>
        <v>#VALUE!</v>
      </c>
      <c r="I46" s="119" t="s">
        <v>128</v>
      </c>
      <c r="J46" s="119"/>
      <c r="K46" s="120"/>
    </row>
    <row r="47" spans="1:11" ht="7.5" customHeight="1" thickBot="1" x14ac:dyDescent="0.5">
      <c r="C47" s="130"/>
      <c r="D47" s="130"/>
      <c r="E47" s="130"/>
      <c r="G47" s="43"/>
      <c r="H47" s="44"/>
      <c r="I47" s="117"/>
      <c r="J47" s="117"/>
      <c r="K47" s="118"/>
    </row>
    <row r="48" spans="1:11" ht="14.65" thickBot="1" x14ac:dyDescent="0.5">
      <c r="G48" s="41" t="s">
        <v>103</v>
      </c>
      <c r="H48" s="45" t="e">
        <f>ws_direct_ads_piStar_pyxgTpsatRhoM(H$13,1,1,1,H$14,H$28,H$29,0.0441,H$2,H$3,H$4,H$5,H$8,H$6,H$9,H$7,H$10)</f>
        <v>#VALUE!</v>
      </c>
      <c r="I48" s="111" t="s">
        <v>104</v>
      </c>
      <c r="J48" s="111"/>
      <c r="K48" s="112"/>
    </row>
  </sheetData>
  <mergeCells count="129">
    <mergeCell ref="O23:Q23"/>
    <mergeCell ref="O24:Q24"/>
    <mergeCell ref="O18:Q18"/>
    <mergeCell ref="O19:Q19"/>
    <mergeCell ref="O20:Q20"/>
    <mergeCell ref="O21:Q21"/>
    <mergeCell ref="O22:Q22"/>
    <mergeCell ref="N7:Q7"/>
    <mergeCell ref="N8:Q8"/>
    <mergeCell ref="N9:Q9"/>
    <mergeCell ref="N10:Q10"/>
    <mergeCell ref="M12:Q12"/>
    <mergeCell ref="O13:Q14"/>
    <mergeCell ref="O15:Q15"/>
    <mergeCell ref="O16:Q16"/>
    <mergeCell ref="O17:Q17"/>
    <mergeCell ref="B6:E6"/>
    <mergeCell ref="A1:E1"/>
    <mergeCell ref="B2:E2"/>
    <mergeCell ref="B3:E3"/>
    <mergeCell ref="B4:E4"/>
    <mergeCell ref="B5:E5"/>
    <mergeCell ref="M1:Q1"/>
    <mergeCell ref="N2:Q2"/>
    <mergeCell ref="N3:Q3"/>
    <mergeCell ref="N4:Q4"/>
    <mergeCell ref="N5:Q5"/>
    <mergeCell ref="N6:Q6"/>
    <mergeCell ref="H6:K6"/>
    <mergeCell ref="C47:E47"/>
    <mergeCell ref="C21:E21"/>
    <mergeCell ref="C22:E22"/>
    <mergeCell ref="C23:E23"/>
    <mergeCell ref="C24:E24"/>
    <mergeCell ref="C25:E25"/>
    <mergeCell ref="C26:E26"/>
    <mergeCell ref="C20:E20"/>
    <mergeCell ref="B7:E7"/>
    <mergeCell ref="B8:E8"/>
    <mergeCell ref="B9:E9"/>
    <mergeCell ref="B10:E10"/>
    <mergeCell ref="A12:E12"/>
    <mergeCell ref="C13:E14"/>
    <mergeCell ref="C15:E15"/>
    <mergeCell ref="C16:E16"/>
    <mergeCell ref="C17:E17"/>
    <mergeCell ref="C18:E18"/>
    <mergeCell ref="C19:E19"/>
    <mergeCell ref="H7:K7"/>
    <mergeCell ref="H8:K8"/>
    <mergeCell ref="H9:K9"/>
    <mergeCell ref="H10:K10"/>
    <mergeCell ref="G1:K1"/>
    <mergeCell ref="H2:K2"/>
    <mergeCell ref="H3:K3"/>
    <mergeCell ref="H4:K4"/>
    <mergeCell ref="H5:K5"/>
    <mergeCell ref="I23:K23"/>
    <mergeCell ref="I24:K24"/>
    <mergeCell ref="I25:K25"/>
    <mergeCell ref="I18:K18"/>
    <mergeCell ref="I19:K19"/>
    <mergeCell ref="I20:K20"/>
    <mergeCell ref="I21:K21"/>
    <mergeCell ref="I22:K22"/>
    <mergeCell ref="G12:K12"/>
    <mergeCell ref="I13:K14"/>
    <mergeCell ref="I15:K15"/>
    <mergeCell ref="I16:K16"/>
    <mergeCell ref="I17:K17"/>
    <mergeCell ref="G27:K27"/>
    <mergeCell ref="I42:K42"/>
    <mergeCell ref="I43:K43"/>
    <mergeCell ref="I44:K44"/>
    <mergeCell ref="I45:K45"/>
    <mergeCell ref="I31:K31"/>
    <mergeCell ref="I38:K38"/>
    <mergeCell ref="I39:K39"/>
    <mergeCell ref="I40:K40"/>
    <mergeCell ref="I41:K41"/>
    <mergeCell ref="I48:K48"/>
    <mergeCell ref="I28:K28"/>
    <mergeCell ref="I29:K29"/>
    <mergeCell ref="I30:K30"/>
    <mergeCell ref="I32:K32"/>
    <mergeCell ref="I33:K33"/>
    <mergeCell ref="I34:K34"/>
    <mergeCell ref="I37:K37"/>
    <mergeCell ref="I36:K36"/>
    <mergeCell ref="I35:K35"/>
    <mergeCell ref="I47:K47"/>
    <mergeCell ref="I46:K46"/>
    <mergeCell ref="U15:W15"/>
    <mergeCell ref="U16:W16"/>
    <mergeCell ref="U17:W17"/>
    <mergeCell ref="T6:W6"/>
    <mergeCell ref="T7:W7"/>
    <mergeCell ref="T8:W8"/>
    <mergeCell ref="T9:W9"/>
    <mergeCell ref="T10:W10"/>
    <mergeCell ref="S1:W1"/>
    <mergeCell ref="T2:W2"/>
    <mergeCell ref="T3:W3"/>
    <mergeCell ref="T4:W4"/>
    <mergeCell ref="T5:W5"/>
    <mergeCell ref="AA18:AC18"/>
    <mergeCell ref="U23:W23"/>
    <mergeCell ref="Y1:AC1"/>
    <mergeCell ref="Z2:AC2"/>
    <mergeCell ref="Z3:AC3"/>
    <mergeCell ref="Z4:AC4"/>
    <mergeCell ref="Z5:AC5"/>
    <mergeCell ref="Z6:AC6"/>
    <mergeCell ref="Z7:AC7"/>
    <mergeCell ref="Z8:AC8"/>
    <mergeCell ref="Z9:AC9"/>
    <mergeCell ref="Z10:AC10"/>
    <mergeCell ref="Y12:AC12"/>
    <mergeCell ref="AA13:AC14"/>
    <mergeCell ref="AA15:AC15"/>
    <mergeCell ref="AA16:AC16"/>
    <mergeCell ref="AA17:AC17"/>
    <mergeCell ref="U18:W18"/>
    <mergeCell ref="U19:W19"/>
    <mergeCell ref="U20:W20"/>
    <mergeCell ref="U21:W21"/>
    <mergeCell ref="U22:W22"/>
    <mergeCell ref="S12:W12"/>
    <mergeCell ref="U13:W14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>
    <tabColor theme="4" tint="0.79998168889431442"/>
  </sheetPr>
  <dimension ref="A1:S60"/>
  <sheetViews>
    <sheetView zoomScaleNormal="100" workbookViewId="0">
      <selection activeCell="Q31" sqref="Q31"/>
    </sheetView>
  </sheetViews>
  <sheetFormatPr baseColWidth="10" defaultRowHeight="14.25" x14ac:dyDescent="0.45"/>
  <cols>
    <col min="1" max="1" width="8" bestFit="1" customWidth="1"/>
    <col min="2" max="2" width="4.265625" bestFit="1" customWidth="1"/>
    <col min="3" max="3" width="8" bestFit="1" customWidth="1"/>
    <col min="4" max="4" width="13" bestFit="1" customWidth="1"/>
    <col min="5" max="5" width="2.86328125" customWidth="1"/>
    <col min="6" max="6" width="8" bestFit="1" customWidth="1"/>
    <col min="7" max="7" width="4.265625" bestFit="1" customWidth="1"/>
    <col min="8" max="8" width="8" bestFit="1" customWidth="1"/>
    <col min="9" max="9" width="13" bestFit="1" customWidth="1"/>
    <col min="10" max="10" width="2.86328125" customWidth="1"/>
    <col min="11" max="11" width="8" bestFit="1" customWidth="1"/>
    <col min="12" max="12" width="4.265625" bestFit="1" customWidth="1"/>
    <col min="13" max="13" width="8" bestFit="1" customWidth="1"/>
    <col min="14" max="14" width="13" bestFit="1" customWidth="1"/>
    <col min="15" max="15" width="2.86328125" customWidth="1"/>
    <col min="16" max="16" width="8" bestFit="1" customWidth="1"/>
    <col min="17" max="17" width="4.265625" bestFit="1" customWidth="1"/>
    <col min="18" max="18" width="8" bestFit="1" customWidth="1"/>
    <col min="19" max="19" width="13" bestFit="1" customWidth="1"/>
    <col min="20" max="20" width="2.86328125" customWidth="1"/>
  </cols>
  <sheetData>
    <row r="1" spans="1:19" ht="41.65" customHeight="1" thickBot="1" x14ac:dyDescent="0.5">
      <c r="A1" s="174" t="s">
        <v>35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6"/>
    </row>
    <row r="2" spans="1:19" x14ac:dyDescent="0.45">
      <c r="A2" s="177" t="s">
        <v>40</v>
      </c>
      <c r="B2" s="178"/>
      <c r="C2" s="178"/>
      <c r="D2" s="7" t="s">
        <v>41</v>
      </c>
      <c r="E2" s="1"/>
      <c r="F2" s="177" t="s">
        <v>42</v>
      </c>
      <c r="G2" s="178"/>
      <c r="H2" s="178"/>
      <c r="I2" s="7" t="s">
        <v>43</v>
      </c>
      <c r="J2" s="1"/>
      <c r="K2" s="177" t="s">
        <v>44</v>
      </c>
      <c r="L2" s="178"/>
      <c r="M2" s="178"/>
      <c r="N2" s="7" t="s">
        <v>57</v>
      </c>
      <c r="O2" s="1"/>
      <c r="P2" s="177" t="s">
        <v>45</v>
      </c>
      <c r="Q2" s="178"/>
      <c r="R2" s="178"/>
      <c r="S2" s="7" t="s">
        <v>46</v>
      </c>
    </row>
    <row r="3" spans="1:19" x14ac:dyDescent="0.4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4.65" thickBot="1" x14ac:dyDescent="0.5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45">
      <c r="A5" s="3">
        <v>1362.03</v>
      </c>
      <c r="B5" s="1">
        <v>323</v>
      </c>
      <c r="C5" s="4">
        <v>2.2961749E-2</v>
      </c>
      <c r="D5" s="10" t="e">
        <f>ws_direct_ads_w_pT(A5,B5,$E$22,$E$23,$E$24,$E$25,$N$25,$E$26,$N$26,$E$27,$N$27)</f>
        <v>#VALUE!</v>
      </c>
      <c r="E5" s="1"/>
      <c r="F5" s="3">
        <v>1526.72</v>
      </c>
      <c r="G5" s="1">
        <v>348</v>
      </c>
      <c r="H5" s="4">
        <v>1.2559972000000001E-2</v>
      </c>
      <c r="I5" s="10" t="e">
        <f t="shared" ref="I5:I19" si="0">ws_direct_ads_w_pT(F5,G5,$E$22,$E$23,$E$24,$E$25,$N$25,$E$26,$N$26,$E$27,$N$27)</f>
        <v>#VALUE!</v>
      </c>
      <c r="J5" s="1"/>
      <c r="K5" s="3">
        <v>763.35900000000004</v>
      </c>
      <c r="L5" s="1">
        <v>373</v>
      </c>
      <c r="M5" s="4">
        <v>5.5828120000000004E-3</v>
      </c>
      <c r="N5" s="10" t="e">
        <f t="shared" ref="N5:N17" si="1">ws_direct_ads_w_pT(K5,L5,$E$22,$E$23,$E$24,$E$25,$N$25,$E$26,$N$26,$E$27,$N$27)</f>
        <v>#VALUE!</v>
      </c>
      <c r="O5" s="1"/>
      <c r="P5" s="3">
        <v>1679.39</v>
      </c>
      <c r="Q5" s="1">
        <v>423</v>
      </c>
      <c r="R5" s="4">
        <v>0</v>
      </c>
      <c r="S5" s="10" t="e">
        <f t="shared" ref="S5:S17" si="2">ws_direct_ads_w_pT(P5,Q5,$E$22,$E$23,$E$24,$E$25,$N$25,$E$26,$N$26,$E$27,$N$27)</f>
        <v>#VALUE!</v>
      </c>
    </row>
    <row r="6" spans="1:19" x14ac:dyDescent="0.45">
      <c r="A6" s="3">
        <v>3333.51</v>
      </c>
      <c r="B6" s="1">
        <v>323</v>
      </c>
      <c r="C6" s="4">
        <v>4.6619347999999998E-2</v>
      </c>
      <c r="D6" s="10" t="e">
        <f t="shared" ref="D6:D19" si="3">ws_direct_ads_w_pT(A6,B6,$E$22,$E$23,$E$24,$E$25,$N$25,$E$26,$N$26,$E$27,$N$27)</f>
        <v>#VALUE!</v>
      </c>
      <c r="E6" s="1"/>
      <c r="F6" s="3">
        <v>3358.78</v>
      </c>
      <c r="G6" s="1">
        <v>348</v>
      </c>
      <c r="H6" s="4">
        <v>2.6516496000000001E-2</v>
      </c>
      <c r="I6" s="10" t="e">
        <f t="shared" si="0"/>
        <v>#VALUE!</v>
      </c>
      <c r="J6" s="1"/>
      <c r="K6" s="3">
        <v>3664.12</v>
      </c>
      <c r="L6" s="1">
        <v>373</v>
      </c>
      <c r="M6" s="4">
        <v>1.4666442E-2</v>
      </c>
      <c r="N6" s="10" t="e">
        <f t="shared" si="1"/>
        <v>#VALUE!</v>
      </c>
      <c r="O6" s="1"/>
      <c r="P6" s="3">
        <v>5190.84</v>
      </c>
      <c r="Q6" s="1">
        <v>423</v>
      </c>
      <c r="R6" s="4">
        <v>2.824933E-3</v>
      </c>
      <c r="S6" s="10" t="e">
        <f t="shared" si="2"/>
        <v>#VALUE!</v>
      </c>
    </row>
    <row r="7" spans="1:19" x14ac:dyDescent="0.45">
      <c r="A7" s="3">
        <v>6065.09</v>
      </c>
      <c r="B7" s="1">
        <v>323</v>
      </c>
      <c r="C7" s="4">
        <v>7.5147461999999998E-2</v>
      </c>
      <c r="D7" s="10" t="e">
        <f t="shared" si="3"/>
        <v>#VALUE!</v>
      </c>
      <c r="E7" s="1"/>
      <c r="F7" s="3">
        <v>5496.18</v>
      </c>
      <c r="G7" s="1">
        <v>348</v>
      </c>
      <c r="H7" s="4">
        <v>4.3961004999999997E-2</v>
      </c>
      <c r="I7" s="10" t="e">
        <f t="shared" si="0"/>
        <v>#VALUE!</v>
      </c>
      <c r="J7" s="1"/>
      <c r="K7" s="3">
        <v>9007.6299999999992</v>
      </c>
      <c r="L7" s="1">
        <v>373</v>
      </c>
      <c r="M7" s="4">
        <v>3.2133351999999997E-2</v>
      </c>
      <c r="N7" s="10" t="e">
        <f t="shared" si="1"/>
        <v>#VALUE!</v>
      </c>
      <c r="O7" s="1"/>
      <c r="P7" s="3">
        <v>9007.6299999999992</v>
      </c>
      <c r="Q7" s="1">
        <v>423</v>
      </c>
      <c r="R7" s="4">
        <v>7.0346619999999997E-3</v>
      </c>
      <c r="S7" s="10" t="e">
        <f t="shared" si="2"/>
        <v>#VALUE!</v>
      </c>
    </row>
    <row r="8" spans="1:19" x14ac:dyDescent="0.45">
      <c r="A8" s="3">
        <v>8791.85</v>
      </c>
      <c r="B8" s="1">
        <v>323</v>
      </c>
      <c r="C8" s="4">
        <v>0.114808744</v>
      </c>
      <c r="D8" s="10" t="e">
        <f t="shared" si="3"/>
        <v>#VALUE!</v>
      </c>
      <c r="E8" s="1"/>
      <c r="F8" s="3">
        <v>7938.93</v>
      </c>
      <c r="G8" s="1">
        <v>348</v>
      </c>
      <c r="H8" s="4">
        <v>6.0710544999999998E-2</v>
      </c>
      <c r="I8" s="10" t="e">
        <f t="shared" si="0"/>
        <v>#VALUE!</v>
      </c>
      <c r="J8" s="1"/>
      <c r="K8" s="3">
        <v>16030.5</v>
      </c>
      <c r="L8" s="1">
        <v>373</v>
      </c>
      <c r="M8" s="4">
        <v>5.6583947000000002E-2</v>
      </c>
      <c r="N8" s="10" t="e">
        <f t="shared" si="1"/>
        <v>#VALUE!</v>
      </c>
      <c r="O8" s="1"/>
      <c r="P8" s="3">
        <v>20610.7</v>
      </c>
      <c r="Q8" s="1">
        <v>423</v>
      </c>
      <c r="R8" s="4">
        <v>1.6876142E-2</v>
      </c>
      <c r="S8" s="10" t="e">
        <f t="shared" si="2"/>
        <v>#VALUE!</v>
      </c>
    </row>
    <row r="9" spans="1:19" x14ac:dyDescent="0.45">
      <c r="A9" s="3">
        <v>12576.7</v>
      </c>
      <c r="B9" s="1">
        <v>323</v>
      </c>
      <c r="C9" s="4">
        <v>0.17534422399999999</v>
      </c>
      <c r="D9" s="10" t="e">
        <f t="shared" si="3"/>
        <v>#VALUE!</v>
      </c>
      <c r="E9" s="1"/>
      <c r="F9" s="3">
        <v>9923.66</v>
      </c>
      <c r="G9" s="1">
        <v>348</v>
      </c>
      <c r="H9" s="4">
        <v>7.6062474000000005E-2</v>
      </c>
      <c r="I9" s="10" t="e">
        <f t="shared" si="0"/>
        <v>#VALUE!</v>
      </c>
      <c r="J9" s="1"/>
      <c r="K9" s="3">
        <v>24580.2</v>
      </c>
      <c r="L9" s="1">
        <v>373</v>
      </c>
      <c r="M9" s="4">
        <v>8.3833689000000003E-2</v>
      </c>
      <c r="N9" s="10" t="e">
        <f t="shared" si="1"/>
        <v>#VALUE!</v>
      </c>
      <c r="O9" s="1"/>
      <c r="P9" s="3">
        <v>29007.599999999999</v>
      </c>
      <c r="Q9" s="1">
        <v>423</v>
      </c>
      <c r="R9" s="4">
        <v>2.5300917999999999E-2</v>
      </c>
      <c r="S9" s="10" t="e">
        <f t="shared" si="2"/>
        <v>#VALUE!</v>
      </c>
    </row>
    <row r="10" spans="1:19" x14ac:dyDescent="0.45">
      <c r="A10" s="3">
        <v>17890.400000000001</v>
      </c>
      <c r="B10" s="1">
        <v>323</v>
      </c>
      <c r="C10" s="4">
        <v>0.22544282600000001</v>
      </c>
      <c r="D10" s="10" t="e">
        <f t="shared" si="3"/>
        <v>#VALUE!</v>
      </c>
      <c r="E10" s="1"/>
      <c r="F10" s="3">
        <v>12977.1</v>
      </c>
      <c r="G10" s="1">
        <v>348</v>
      </c>
      <c r="H10" s="4">
        <v>9.6999289000000002E-2</v>
      </c>
      <c r="I10" s="10" t="e">
        <f t="shared" si="0"/>
        <v>#VALUE!</v>
      </c>
      <c r="J10" s="1"/>
      <c r="K10" s="3">
        <v>32366.400000000001</v>
      </c>
      <c r="L10" s="1">
        <v>373</v>
      </c>
      <c r="M10" s="4">
        <v>0.108289444</v>
      </c>
      <c r="N10" s="10" t="e">
        <f t="shared" si="1"/>
        <v>#VALUE!</v>
      </c>
      <c r="O10" s="1"/>
      <c r="P10" s="3">
        <v>33893.1</v>
      </c>
      <c r="Q10" s="1">
        <v>423</v>
      </c>
      <c r="R10" s="4">
        <v>2.8820917000000001E-2</v>
      </c>
      <c r="S10" s="10" t="e">
        <f t="shared" si="2"/>
        <v>#VALUE!</v>
      </c>
    </row>
    <row r="11" spans="1:19" x14ac:dyDescent="0.45">
      <c r="A11" s="3">
        <v>24892.1</v>
      </c>
      <c r="B11" s="1">
        <v>323</v>
      </c>
      <c r="C11" s="4">
        <v>0.24979583499999999</v>
      </c>
      <c r="D11" s="10" t="e">
        <f t="shared" si="3"/>
        <v>#VALUE!</v>
      </c>
      <c r="E11" s="1"/>
      <c r="F11" s="3">
        <v>18167.900000000001</v>
      </c>
      <c r="G11" s="1">
        <v>348</v>
      </c>
      <c r="H11" s="4">
        <v>0.13398652999999999</v>
      </c>
      <c r="I11" s="10" t="e">
        <f t="shared" si="0"/>
        <v>#VALUE!</v>
      </c>
      <c r="J11" s="1"/>
      <c r="K11" s="3">
        <v>39542</v>
      </c>
      <c r="L11" s="1">
        <v>373</v>
      </c>
      <c r="M11" s="4">
        <v>0.132043616</v>
      </c>
      <c r="N11" s="10" t="e">
        <f t="shared" si="1"/>
        <v>#VALUE!</v>
      </c>
      <c r="O11" s="1"/>
      <c r="P11" s="3">
        <v>40305.300000000003</v>
      </c>
      <c r="Q11" s="1">
        <v>423</v>
      </c>
      <c r="R11" s="4">
        <v>3.5140282000000002E-2</v>
      </c>
      <c r="S11" s="10" t="e">
        <f t="shared" si="2"/>
        <v>#VALUE!</v>
      </c>
    </row>
    <row r="12" spans="1:19" x14ac:dyDescent="0.45">
      <c r="A12" s="3">
        <v>33574.5</v>
      </c>
      <c r="B12" s="1">
        <v>323</v>
      </c>
      <c r="C12" s="4">
        <v>0.26510366800000001</v>
      </c>
      <c r="D12" s="10" t="e">
        <f t="shared" si="3"/>
        <v>#VALUE!</v>
      </c>
      <c r="E12" s="1"/>
      <c r="F12" s="3">
        <v>31755.7</v>
      </c>
      <c r="G12" s="1">
        <v>348</v>
      </c>
      <c r="H12" s="4">
        <v>0.19473632099999999</v>
      </c>
      <c r="I12" s="10" t="e">
        <f t="shared" si="0"/>
        <v>#VALUE!</v>
      </c>
      <c r="J12" s="1"/>
      <c r="K12" s="3">
        <v>49007.6</v>
      </c>
      <c r="L12" s="1">
        <v>373</v>
      </c>
      <c r="M12" s="4">
        <v>0.15790562399999999</v>
      </c>
      <c r="N12" s="10" t="e">
        <f t="shared" si="1"/>
        <v>#VALUE!</v>
      </c>
      <c r="O12" s="1"/>
      <c r="P12" s="3">
        <v>49923.7</v>
      </c>
      <c r="Q12" s="1">
        <v>423</v>
      </c>
      <c r="R12" s="4">
        <v>4.3573568999999999E-2</v>
      </c>
      <c r="S12" s="10" t="e">
        <f t="shared" si="2"/>
        <v>#VALUE!</v>
      </c>
    </row>
    <row r="13" spans="1:19" x14ac:dyDescent="0.45">
      <c r="A13" s="3">
        <v>40887.9</v>
      </c>
      <c r="B13" s="1">
        <v>323</v>
      </c>
      <c r="C13" s="4">
        <v>0.273453434</v>
      </c>
      <c r="D13" s="10" t="e">
        <f t="shared" si="3"/>
        <v>#VALUE!</v>
      </c>
      <c r="E13" s="1"/>
      <c r="F13" s="3">
        <v>39389.300000000003</v>
      </c>
      <c r="G13" s="1">
        <v>348</v>
      </c>
      <c r="H13" s="4">
        <v>0.21431053799999999</v>
      </c>
      <c r="I13" s="10" t="e">
        <f t="shared" si="0"/>
        <v>#VALUE!</v>
      </c>
      <c r="J13" s="1"/>
      <c r="K13" s="3">
        <v>60916</v>
      </c>
      <c r="L13" s="1">
        <v>373</v>
      </c>
      <c r="M13" s="4">
        <v>0.17960134799999999</v>
      </c>
      <c r="N13" s="10" t="e">
        <f t="shared" si="1"/>
        <v>#VALUE!</v>
      </c>
      <c r="O13" s="1"/>
      <c r="P13" s="3">
        <v>58931.3</v>
      </c>
      <c r="Q13" s="1">
        <v>423</v>
      </c>
      <c r="R13" s="4">
        <v>5.2699884000000002E-2</v>
      </c>
      <c r="S13" s="10" t="e">
        <f t="shared" si="2"/>
        <v>#VALUE!</v>
      </c>
    </row>
    <row r="14" spans="1:19" x14ac:dyDescent="0.45">
      <c r="A14" s="3">
        <v>49726.400000000001</v>
      </c>
      <c r="B14" s="1">
        <v>323</v>
      </c>
      <c r="C14" s="4">
        <v>0.28041149999999998</v>
      </c>
      <c r="D14" s="10" t="e">
        <f t="shared" si="3"/>
        <v>#VALUE!</v>
      </c>
      <c r="E14" s="1"/>
      <c r="F14" s="3">
        <v>45648.9</v>
      </c>
      <c r="G14" s="1">
        <v>348</v>
      </c>
      <c r="H14" s="4">
        <v>0.22620658599999999</v>
      </c>
      <c r="I14" s="10" t="e">
        <f t="shared" si="0"/>
        <v>#VALUE!</v>
      </c>
      <c r="J14" s="1"/>
      <c r="K14" s="3">
        <v>70229</v>
      </c>
      <c r="L14" s="1">
        <v>373</v>
      </c>
      <c r="M14" s="4">
        <v>0.19291290999999999</v>
      </c>
      <c r="N14" s="10" t="e">
        <f t="shared" si="1"/>
        <v>#VALUE!</v>
      </c>
      <c r="O14" s="1"/>
      <c r="P14" s="3">
        <v>69923.7</v>
      </c>
      <c r="Q14" s="1">
        <v>423</v>
      </c>
      <c r="R14" s="4">
        <v>6.4628563E-2</v>
      </c>
      <c r="S14" s="10" t="e">
        <f t="shared" si="2"/>
        <v>#VALUE!</v>
      </c>
    </row>
    <row r="15" spans="1:19" x14ac:dyDescent="0.45">
      <c r="A15" s="3">
        <v>59937.1</v>
      </c>
      <c r="B15" s="1">
        <v>323</v>
      </c>
      <c r="C15" s="4">
        <v>0.28667415600000001</v>
      </c>
      <c r="D15" s="10" t="e">
        <f t="shared" si="3"/>
        <v>#VALUE!</v>
      </c>
      <c r="E15" s="1"/>
      <c r="F15" s="3">
        <v>55114.5</v>
      </c>
      <c r="G15" s="1">
        <v>348</v>
      </c>
      <c r="H15" s="4">
        <v>0.23673033499999999</v>
      </c>
      <c r="I15" s="10" t="e">
        <f t="shared" si="0"/>
        <v>#VALUE!</v>
      </c>
      <c r="J15" s="1"/>
      <c r="K15" s="3">
        <v>80610.7</v>
      </c>
      <c r="L15" s="1">
        <v>373</v>
      </c>
      <c r="M15" s="4">
        <v>0.204837621</v>
      </c>
      <c r="N15" s="10" t="e">
        <f t="shared" si="1"/>
        <v>#VALUE!</v>
      </c>
      <c r="O15" s="1"/>
      <c r="P15" s="3">
        <v>80763.399999999994</v>
      </c>
      <c r="Q15" s="1">
        <v>423</v>
      </c>
      <c r="R15" s="4">
        <v>7.3767665999999996E-2</v>
      </c>
      <c r="S15" s="10" t="e">
        <f t="shared" si="2"/>
        <v>#VALUE!</v>
      </c>
    </row>
    <row r="16" spans="1:19" x14ac:dyDescent="0.45">
      <c r="A16" s="3">
        <v>69691.7</v>
      </c>
      <c r="B16" s="1">
        <v>323</v>
      </c>
      <c r="C16" s="4">
        <v>0.29015296800000001</v>
      </c>
      <c r="D16" s="10" t="e">
        <f t="shared" si="3"/>
        <v>#VALUE!</v>
      </c>
      <c r="E16" s="1"/>
      <c r="F16" s="3">
        <v>65190.8</v>
      </c>
      <c r="G16" s="1">
        <v>348</v>
      </c>
      <c r="H16" s="4">
        <v>0.244469358</v>
      </c>
      <c r="I16" s="10" t="e">
        <f t="shared" si="0"/>
        <v>#VALUE!</v>
      </c>
      <c r="J16" s="1"/>
      <c r="K16" s="3">
        <v>90229</v>
      </c>
      <c r="L16" s="1">
        <v>373</v>
      </c>
      <c r="M16" s="4">
        <v>0.211876384</v>
      </c>
      <c r="N16" s="10" t="e">
        <f t="shared" si="1"/>
        <v>#VALUE!</v>
      </c>
      <c r="O16" s="1"/>
      <c r="P16" s="3">
        <v>90992.4</v>
      </c>
      <c r="Q16" s="1">
        <v>423</v>
      </c>
      <c r="R16" s="4">
        <v>8.1508013000000004E-2</v>
      </c>
      <c r="S16" s="10" t="e">
        <f t="shared" si="2"/>
        <v>#VALUE!</v>
      </c>
    </row>
    <row r="17" spans="1:19" x14ac:dyDescent="0.45">
      <c r="A17" s="3">
        <v>80817.600000000006</v>
      </c>
      <c r="B17" s="1">
        <v>323</v>
      </c>
      <c r="C17" s="4">
        <v>0.29502392300000002</v>
      </c>
      <c r="D17" s="10" t="e">
        <f t="shared" si="3"/>
        <v>#VALUE!</v>
      </c>
      <c r="E17" s="1"/>
      <c r="F17" s="3">
        <v>78167.899999999994</v>
      </c>
      <c r="G17" s="1">
        <v>348</v>
      </c>
      <c r="H17" s="4">
        <v>0.25222910700000001</v>
      </c>
      <c r="I17" s="10" t="e">
        <f t="shared" si="0"/>
        <v>#VALUE!</v>
      </c>
      <c r="J17" s="1"/>
      <c r="K17" s="3">
        <v>98931.3</v>
      </c>
      <c r="L17" s="1">
        <v>373</v>
      </c>
      <c r="M17" s="4">
        <v>0.21681745299999999</v>
      </c>
      <c r="N17" s="10" t="e">
        <f t="shared" si="1"/>
        <v>#VALUE!</v>
      </c>
      <c r="O17" s="1"/>
      <c r="P17" s="3">
        <v>99694.7</v>
      </c>
      <c r="Q17" s="1">
        <v>423</v>
      </c>
      <c r="R17" s="4">
        <v>9.2026469999999999E-2</v>
      </c>
      <c r="S17" s="10" t="e">
        <f t="shared" si="2"/>
        <v>#VALUE!</v>
      </c>
    </row>
    <row r="18" spans="1:19" x14ac:dyDescent="0.45">
      <c r="A18" s="3">
        <v>89658.2</v>
      </c>
      <c r="B18" s="1">
        <v>323</v>
      </c>
      <c r="C18" s="4">
        <v>0.297111034</v>
      </c>
      <c r="D18" s="10" t="e">
        <f t="shared" si="3"/>
        <v>#VALUE!</v>
      </c>
      <c r="E18" s="1"/>
      <c r="F18" s="3">
        <v>87022.9</v>
      </c>
      <c r="G18" s="1">
        <v>348</v>
      </c>
      <c r="H18" s="4">
        <v>0.25577671099999999</v>
      </c>
      <c r="I18" s="10" t="e">
        <f t="shared" si="0"/>
        <v>#VALUE!</v>
      </c>
      <c r="J18" s="1"/>
      <c r="K18" s="3"/>
      <c r="L18" s="1"/>
      <c r="M18" s="4"/>
      <c r="N18" s="10"/>
      <c r="O18" s="1"/>
      <c r="P18" s="3"/>
      <c r="Q18" s="1"/>
      <c r="R18" s="4"/>
      <c r="S18" s="10"/>
    </row>
    <row r="19" spans="1:19" ht="14.65" thickBot="1" x14ac:dyDescent="0.5">
      <c r="A19" s="5">
        <v>99261.3</v>
      </c>
      <c r="B19" s="2">
        <v>323</v>
      </c>
      <c r="C19" s="6">
        <v>0.29850273500000002</v>
      </c>
      <c r="D19" s="11" t="e">
        <f t="shared" si="3"/>
        <v>#VALUE!</v>
      </c>
      <c r="E19" s="2"/>
      <c r="F19" s="5">
        <v>99694.7</v>
      </c>
      <c r="G19" s="2">
        <v>348</v>
      </c>
      <c r="H19" s="6">
        <v>0.25795642600000002</v>
      </c>
      <c r="I19" s="11" t="e">
        <f t="shared" si="0"/>
        <v>#VALUE!</v>
      </c>
      <c r="J19" s="2"/>
      <c r="K19" s="5"/>
      <c r="L19" s="2"/>
      <c r="M19" s="6"/>
      <c r="N19" s="11"/>
      <c r="O19" s="2"/>
      <c r="P19" s="5"/>
      <c r="Q19" s="2"/>
      <c r="R19" s="6"/>
      <c r="S19" s="11"/>
    </row>
    <row r="20" spans="1:19" ht="14.65" thickBot="1" x14ac:dyDescent="0.5"/>
    <row r="21" spans="1:19" ht="14.65" thickBot="1" x14ac:dyDescent="0.5">
      <c r="A21" s="171" t="s">
        <v>27</v>
      </c>
      <c r="B21" s="172"/>
      <c r="C21" s="172"/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3"/>
    </row>
    <row r="22" spans="1:19" x14ac:dyDescent="0.45">
      <c r="A22" s="179" t="s">
        <v>10</v>
      </c>
      <c r="B22" s="180"/>
      <c r="C22" s="180"/>
      <c r="D22" s="181"/>
      <c r="E22" s="160" t="s">
        <v>36</v>
      </c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82"/>
    </row>
    <row r="23" spans="1:19" x14ac:dyDescent="0.45">
      <c r="A23" s="179" t="s">
        <v>12</v>
      </c>
      <c r="B23" s="180"/>
      <c r="C23" s="180"/>
      <c r="D23" s="181"/>
      <c r="E23" s="160" t="s">
        <v>37</v>
      </c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82"/>
    </row>
    <row r="24" spans="1:19" x14ac:dyDescent="0.45">
      <c r="A24" s="179" t="s">
        <v>14</v>
      </c>
      <c r="B24" s="180"/>
      <c r="C24" s="180"/>
      <c r="D24" s="181"/>
      <c r="E24" s="160" t="s">
        <v>38</v>
      </c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82"/>
    </row>
    <row r="25" spans="1:19" x14ac:dyDescent="0.45">
      <c r="A25" s="179" t="s">
        <v>16</v>
      </c>
      <c r="B25" s="180"/>
      <c r="C25" s="180"/>
      <c r="D25" s="181"/>
      <c r="E25" s="160" t="s">
        <v>39</v>
      </c>
      <c r="F25" s="160"/>
      <c r="G25" s="160"/>
      <c r="H25" s="160"/>
      <c r="I25" s="180" t="s">
        <v>24</v>
      </c>
      <c r="J25" s="180"/>
      <c r="K25" s="180"/>
      <c r="L25" s="180"/>
      <c r="M25" s="180"/>
      <c r="N25" s="160">
        <v>1</v>
      </c>
      <c r="O25" s="160"/>
      <c r="P25" s="160"/>
      <c r="Q25" s="160"/>
      <c r="R25" s="160"/>
      <c r="S25" s="182"/>
    </row>
    <row r="26" spans="1:19" x14ac:dyDescent="0.45">
      <c r="A26" s="179" t="s">
        <v>18</v>
      </c>
      <c r="B26" s="180"/>
      <c r="C26" s="180"/>
      <c r="D26" s="181"/>
      <c r="E26" s="160" t="s">
        <v>19</v>
      </c>
      <c r="F26" s="160"/>
      <c r="G26" s="160"/>
      <c r="H26" s="160"/>
      <c r="I26" s="188" t="s">
        <v>25</v>
      </c>
      <c r="J26" s="188"/>
      <c r="K26" s="188"/>
      <c r="L26" s="188"/>
      <c r="M26" s="188"/>
      <c r="N26" s="160">
        <v>1</v>
      </c>
      <c r="O26" s="160"/>
      <c r="P26" s="160"/>
      <c r="Q26" s="160"/>
      <c r="R26" s="160"/>
      <c r="S26" s="182"/>
    </row>
    <row r="27" spans="1:19" ht="14.65" thickBot="1" x14ac:dyDescent="0.5">
      <c r="A27" s="183" t="s">
        <v>20</v>
      </c>
      <c r="B27" s="184"/>
      <c r="C27" s="184"/>
      <c r="D27" s="185"/>
      <c r="E27" s="186" t="s">
        <v>21</v>
      </c>
      <c r="F27" s="186"/>
      <c r="G27" s="186"/>
      <c r="H27" s="186"/>
      <c r="I27" s="184" t="s">
        <v>26</v>
      </c>
      <c r="J27" s="184"/>
      <c r="K27" s="184"/>
      <c r="L27" s="184"/>
      <c r="M27" s="184"/>
      <c r="N27" s="186">
        <v>1</v>
      </c>
      <c r="O27" s="186"/>
      <c r="P27" s="186"/>
      <c r="Q27" s="186"/>
      <c r="R27" s="186"/>
      <c r="S27" s="187"/>
    </row>
    <row r="30" spans="1:19" x14ac:dyDescent="0.45">
      <c r="A30" s="27"/>
    </row>
    <row r="31" spans="1:19" x14ac:dyDescent="0.45">
      <c r="A31" s="27"/>
    </row>
    <row r="32" spans="1:19" x14ac:dyDescent="0.45">
      <c r="A32" s="27"/>
    </row>
    <row r="33" spans="1:1" x14ac:dyDescent="0.45">
      <c r="A33" s="27"/>
    </row>
    <row r="34" spans="1:1" x14ac:dyDescent="0.45">
      <c r="A34" s="27"/>
    </row>
    <row r="35" spans="1:1" x14ac:dyDescent="0.45">
      <c r="A35" s="27"/>
    </row>
    <row r="36" spans="1:1" x14ac:dyDescent="0.45">
      <c r="A36" s="27"/>
    </row>
    <row r="37" spans="1:1" x14ac:dyDescent="0.45">
      <c r="A37" s="27"/>
    </row>
    <row r="38" spans="1:1" x14ac:dyDescent="0.45">
      <c r="A38" s="27"/>
    </row>
    <row r="39" spans="1:1" x14ac:dyDescent="0.45">
      <c r="A39" s="27"/>
    </row>
    <row r="40" spans="1:1" x14ac:dyDescent="0.45">
      <c r="A40" s="27"/>
    </row>
    <row r="41" spans="1:1" x14ac:dyDescent="0.45">
      <c r="A41" s="27"/>
    </row>
    <row r="42" spans="1:1" x14ac:dyDescent="0.45">
      <c r="A42" s="27"/>
    </row>
    <row r="43" spans="1:1" x14ac:dyDescent="0.45">
      <c r="A43" s="27"/>
    </row>
    <row r="44" spans="1:1" x14ac:dyDescent="0.45">
      <c r="A44" s="27"/>
    </row>
    <row r="45" spans="1:1" x14ac:dyDescent="0.45">
      <c r="A45" s="27"/>
    </row>
    <row r="46" spans="1:1" x14ac:dyDescent="0.45">
      <c r="A46" s="27"/>
    </row>
    <row r="47" spans="1:1" x14ac:dyDescent="0.45">
      <c r="A47" s="27"/>
    </row>
    <row r="48" spans="1:1" x14ac:dyDescent="0.45">
      <c r="A48" s="27"/>
    </row>
    <row r="49" spans="1:1" x14ac:dyDescent="0.45">
      <c r="A49" s="27"/>
    </row>
    <row r="50" spans="1:1" x14ac:dyDescent="0.45">
      <c r="A50" s="27"/>
    </row>
    <row r="51" spans="1:1" x14ac:dyDescent="0.45">
      <c r="A51" s="27"/>
    </row>
    <row r="52" spans="1:1" x14ac:dyDescent="0.45">
      <c r="A52" s="27"/>
    </row>
    <row r="53" spans="1:1" x14ac:dyDescent="0.45">
      <c r="A53" s="27"/>
    </row>
    <row r="54" spans="1:1" x14ac:dyDescent="0.45">
      <c r="A54" s="27"/>
    </row>
    <row r="55" spans="1:1" x14ac:dyDescent="0.45">
      <c r="A55" s="27"/>
    </row>
    <row r="56" spans="1:1" x14ac:dyDescent="0.45">
      <c r="A56" s="27"/>
    </row>
    <row r="57" spans="1:1" x14ac:dyDescent="0.45">
      <c r="A57" s="27"/>
    </row>
    <row r="58" spans="1:1" x14ac:dyDescent="0.45">
      <c r="A58" s="27"/>
    </row>
    <row r="59" spans="1:1" x14ac:dyDescent="0.45">
      <c r="A59" s="27"/>
    </row>
    <row r="60" spans="1:1" x14ac:dyDescent="0.45">
      <c r="A60" s="27"/>
    </row>
  </sheetData>
  <mergeCells count="24">
    <mergeCell ref="A27:D27"/>
    <mergeCell ref="E27:H27"/>
    <mergeCell ref="I27:M27"/>
    <mergeCell ref="N27:S27"/>
    <mergeCell ref="A25:D25"/>
    <mergeCell ref="E25:H25"/>
    <mergeCell ref="I25:M25"/>
    <mergeCell ref="N25:S25"/>
    <mergeCell ref="A26:D26"/>
    <mergeCell ref="E26:H26"/>
    <mergeCell ref="I26:M26"/>
    <mergeCell ref="N26:S26"/>
    <mergeCell ref="A22:D22"/>
    <mergeCell ref="E22:S22"/>
    <mergeCell ref="A23:D23"/>
    <mergeCell ref="E23:S23"/>
    <mergeCell ref="A24:D24"/>
    <mergeCell ref="E24:S24"/>
    <mergeCell ref="A21:S21"/>
    <mergeCell ref="A1:S1"/>
    <mergeCell ref="A2:C2"/>
    <mergeCell ref="F2:H2"/>
    <mergeCell ref="K2:M2"/>
    <mergeCell ref="P2:R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7">
    <tabColor theme="4" tint="0.79998168889431442"/>
  </sheetPr>
  <dimension ref="A1:S25"/>
  <sheetViews>
    <sheetView zoomScaleNormal="100" workbookViewId="0">
      <selection activeCell="S32" sqref="S32"/>
    </sheetView>
  </sheetViews>
  <sheetFormatPr baseColWidth="10" defaultRowHeight="14.25" x14ac:dyDescent="0.45"/>
  <cols>
    <col min="1" max="1" width="8" bestFit="1" customWidth="1"/>
    <col min="2" max="2" width="4.265625" bestFit="1" customWidth="1"/>
    <col min="3" max="3" width="8" bestFit="1" customWidth="1"/>
    <col min="4" max="4" width="13" bestFit="1" customWidth="1"/>
    <col min="5" max="5" width="2.86328125" customWidth="1"/>
    <col min="6" max="6" width="8" bestFit="1" customWidth="1"/>
    <col min="7" max="7" width="4.265625" bestFit="1" customWidth="1"/>
    <col min="8" max="8" width="8" bestFit="1" customWidth="1"/>
    <col min="9" max="9" width="13" bestFit="1" customWidth="1"/>
    <col min="10" max="10" width="2.86328125" customWidth="1"/>
    <col min="11" max="11" width="8" bestFit="1" customWidth="1"/>
    <col min="12" max="12" width="4.265625" bestFit="1" customWidth="1"/>
    <col min="13" max="13" width="8" bestFit="1" customWidth="1"/>
    <col min="14" max="14" width="13" bestFit="1" customWidth="1"/>
    <col min="15" max="15" width="2.86328125" customWidth="1"/>
    <col min="16" max="16" width="8" bestFit="1" customWidth="1"/>
    <col min="17" max="17" width="4.265625" bestFit="1" customWidth="1"/>
    <col min="18" max="18" width="8" bestFit="1" customWidth="1"/>
    <col min="19" max="19" width="13" bestFit="1" customWidth="1"/>
    <col min="20" max="20" width="2.86328125" customWidth="1"/>
  </cols>
  <sheetData>
    <row r="1" spans="1:19" ht="41.65" customHeight="1" thickBot="1" x14ac:dyDescent="0.5">
      <c r="A1" s="174" t="s">
        <v>123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6"/>
    </row>
    <row r="2" spans="1:19" x14ac:dyDescent="0.45">
      <c r="A2" s="177" t="s">
        <v>40</v>
      </c>
      <c r="B2" s="178"/>
      <c r="C2" s="178"/>
      <c r="D2" s="7" t="s">
        <v>41</v>
      </c>
      <c r="E2" s="1"/>
      <c r="F2" s="177" t="s">
        <v>42</v>
      </c>
      <c r="G2" s="178"/>
      <c r="H2" s="178"/>
      <c r="I2" s="7" t="s">
        <v>43</v>
      </c>
      <c r="J2" s="1"/>
      <c r="K2" s="177" t="s">
        <v>44</v>
      </c>
      <c r="L2" s="178"/>
      <c r="M2" s="178"/>
      <c r="N2" s="7" t="s">
        <v>57</v>
      </c>
      <c r="O2" s="1"/>
      <c r="P2" s="177" t="s">
        <v>45</v>
      </c>
      <c r="Q2" s="178"/>
      <c r="R2" s="178"/>
      <c r="S2" s="7" t="s">
        <v>46</v>
      </c>
    </row>
    <row r="3" spans="1:19" x14ac:dyDescent="0.4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4.65" thickBot="1" x14ac:dyDescent="0.5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45">
      <c r="A5" s="3">
        <v>301.20499999999998</v>
      </c>
      <c r="B5" s="1">
        <v>323</v>
      </c>
      <c r="C5" s="4">
        <v>5.24663E-2</v>
      </c>
      <c r="D5" s="10" t="e">
        <f>ws_direct_ads_w_pT(A5,B5,$E$20,$E$21,$E$22,$E$23,$N$23,$E$24,$N$24,$E$25,$N$25)</f>
        <v>#VALUE!</v>
      </c>
      <c r="E5" s="1"/>
      <c r="F5" s="3">
        <v>2108.4299999999998</v>
      </c>
      <c r="G5" s="1">
        <v>348</v>
      </c>
      <c r="H5" s="4">
        <v>4.88479E-2</v>
      </c>
      <c r="I5" s="10" t="e">
        <f t="shared" ref="I5:I16" si="0">ws_direct_ads_w_pT(F5,G5,$E$20,$E$21,$E$22,$E$23,$N$23,$E$24,$N$24,$E$25,$N$25)</f>
        <v>#VALUE!</v>
      </c>
      <c r="J5" s="1"/>
      <c r="K5" s="3">
        <v>1807.23</v>
      </c>
      <c r="L5" s="1">
        <v>373</v>
      </c>
      <c r="M5" s="4">
        <v>3.0756100000000001E-2</v>
      </c>
      <c r="N5" s="10" t="e">
        <f t="shared" ref="N5:N17" si="1">ws_direct_ads_w_pT(K5,L5,$E$20,$E$21,$E$22,$E$23,$N$23,$E$24,$N$24,$E$25,$N$25)</f>
        <v>#VALUE!</v>
      </c>
      <c r="O5" s="1"/>
      <c r="P5" s="3">
        <v>3313.25</v>
      </c>
      <c r="Q5" s="1">
        <v>423</v>
      </c>
      <c r="R5" s="4">
        <v>9.0459100000000008E-3</v>
      </c>
      <c r="S5" s="10" t="e">
        <f t="shared" ref="S5:S17" si="2">ws_direct_ads_w_pT(P5,Q5,$E$20,$E$21,$E$22,$E$23,$N$23,$E$24,$N$24,$E$25,$N$25)</f>
        <v>#VALUE!</v>
      </c>
    </row>
    <row r="6" spans="1:19" x14ac:dyDescent="0.45">
      <c r="A6" s="3">
        <v>1204.82</v>
      </c>
      <c r="B6" s="1">
        <v>323</v>
      </c>
      <c r="C6" s="4">
        <v>0.13026099999999999</v>
      </c>
      <c r="D6" s="10" t="e">
        <f t="shared" ref="D6:D17" si="3">ws_direct_ads_w_pT(A6,B6,$E$20,$E$21,$E$22,$E$23,$N$23,$E$24,$N$24,$E$25,$N$25)</f>
        <v>#VALUE!</v>
      </c>
      <c r="E6" s="1"/>
      <c r="F6" s="3">
        <v>3915.66</v>
      </c>
      <c r="G6" s="1">
        <v>348</v>
      </c>
      <c r="H6" s="4">
        <v>0.121215</v>
      </c>
      <c r="I6" s="10" t="e">
        <f t="shared" si="0"/>
        <v>#VALUE!</v>
      </c>
      <c r="J6" s="1"/>
      <c r="K6" s="3">
        <v>3915.66</v>
      </c>
      <c r="L6" s="1">
        <v>373</v>
      </c>
      <c r="M6" s="4">
        <v>6.6939799999999994E-2</v>
      </c>
      <c r="N6" s="10" t="e">
        <f t="shared" si="1"/>
        <v>#VALUE!</v>
      </c>
      <c r="O6" s="1"/>
      <c r="P6" s="3">
        <v>5421.69</v>
      </c>
      <c r="Q6" s="1">
        <v>423</v>
      </c>
      <c r="R6" s="4">
        <v>1.9900999999999999E-2</v>
      </c>
      <c r="S6" s="10" t="e">
        <f t="shared" si="2"/>
        <v>#VALUE!</v>
      </c>
    </row>
    <row r="7" spans="1:19" x14ac:dyDescent="0.45">
      <c r="A7" s="3">
        <v>1807.23</v>
      </c>
      <c r="B7" s="1">
        <v>323</v>
      </c>
      <c r="C7" s="4">
        <v>0.229766</v>
      </c>
      <c r="D7" s="10" t="e">
        <f t="shared" si="3"/>
        <v>#VALUE!</v>
      </c>
      <c r="E7" s="1"/>
      <c r="F7" s="3">
        <v>5120.4799999999996</v>
      </c>
      <c r="G7" s="1">
        <v>348</v>
      </c>
      <c r="H7" s="4">
        <v>0.180918</v>
      </c>
      <c r="I7" s="10" t="e">
        <f t="shared" si="0"/>
        <v>#VALUE!</v>
      </c>
      <c r="J7" s="1"/>
      <c r="K7" s="3">
        <v>5722.89</v>
      </c>
      <c r="L7" s="1">
        <v>373</v>
      </c>
      <c r="M7" s="4">
        <v>0.101314</v>
      </c>
      <c r="N7" s="10" t="e">
        <f t="shared" si="1"/>
        <v>#VALUE!</v>
      </c>
      <c r="O7" s="1"/>
      <c r="P7" s="3">
        <v>8433.73</v>
      </c>
      <c r="Q7" s="1">
        <v>423</v>
      </c>
      <c r="R7" s="4">
        <v>2.8946900000000001E-2</v>
      </c>
      <c r="S7" s="10" t="e">
        <f t="shared" si="2"/>
        <v>#VALUE!</v>
      </c>
    </row>
    <row r="8" spans="1:19" x14ac:dyDescent="0.45">
      <c r="A8" s="3">
        <v>2409.64</v>
      </c>
      <c r="B8" s="1">
        <v>323</v>
      </c>
      <c r="C8" s="4">
        <v>0.28585100000000002</v>
      </c>
      <c r="D8" s="10" t="e">
        <f t="shared" si="3"/>
        <v>#VALUE!</v>
      </c>
      <c r="E8" s="1"/>
      <c r="F8" s="3">
        <v>6927.71</v>
      </c>
      <c r="G8" s="1">
        <v>348</v>
      </c>
      <c r="H8" s="4">
        <v>0.25328600000000001</v>
      </c>
      <c r="I8" s="10" t="e">
        <f t="shared" si="0"/>
        <v>#VALUE!</v>
      </c>
      <c r="J8" s="1"/>
      <c r="K8" s="3">
        <v>7530.12</v>
      </c>
      <c r="L8" s="1">
        <v>373</v>
      </c>
      <c r="M8" s="4">
        <v>0.15197099999999999</v>
      </c>
      <c r="N8" s="10" t="e">
        <f t="shared" si="1"/>
        <v>#VALUE!</v>
      </c>
      <c r="O8" s="1"/>
      <c r="P8" s="3">
        <v>10241</v>
      </c>
      <c r="Q8" s="1">
        <v>423</v>
      </c>
      <c r="R8" s="4">
        <v>3.4374500000000002E-2</v>
      </c>
      <c r="S8" s="10" t="e">
        <f t="shared" si="2"/>
        <v>#VALUE!</v>
      </c>
    </row>
    <row r="9" spans="1:19" x14ac:dyDescent="0.45">
      <c r="A9" s="3">
        <v>6325.3</v>
      </c>
      <c r="B9" s="1">
        <v>323</v>
      </c>
      <c r="C9" s="4">
        <v>0.32384400000000002</v>
      </c>
      <c r="D9" s="10" t="e">
        <f t="shared" si="3"/>
        <v>#VALUE!</v>
      </c>
      <c r="E9" s="1"/>
      <c r="F9" s="3">
        <v>12048.2</v>
      </c>
      <c r="G9" s="1">
        <v>348</v>
      </c>
      <c r="H9" s="4">
        <v>0.30032399999999998</v>
      </c>
      <c r="I9" s="10" t="e">
        <f t="shared" si="0"/>
        <v>#VALUE!</v>
      </c>
      <c r="J9" s="1"/>
      <c r="K9" s="3">
        <v>11747</v>
      </c>
      <c r="L9" s="1">
        <v>373</v>
      </c>
      <c r="M9" s="4">
        <v>0.23338500000000001</v>
      </c>
      <c r="N9" s="10" t="e">
        <f t="shared" si="1"/>
        <v>#VALUE!</v>
      </c>
      <c r="O9" s="1"/>
      <c r="P9" s="3">
        <v>14759</v>
      </c>
      <c r="Q9" s="1">
        <v>423</v>
      </c>
      <c r="R9" s="4">
        <v>5.6084700000000001E-2</v>
      </c>
      <c r="S9" s="10" t="e">
        <f t="shared" si="2"/>
        <v>#VALUE!</v>
      </c>
    </row>
    <row r="10" spans="1:19" x14ac:dyDescent="0.45">
      <c r="A10" s="3">
        <v>11747</v>
      </c>
      <c r="B10" s="1">
        <v>323</v>
      </c>
      <c r="C10" s="4">
        <v>0.33831699999999998</v>
      </c>
      <c r="D10" s="10" t="e">
        <f t="shared" si="3"/>
        <v>#VALUE!</v>
      </c>
      <c r="E10" s="1"/>
      <c r="F10" s="3">
        <v>20783.099999999999</v>
      </c>
      <c r="G10" s="1">
        <v>348</v>
      </c>
      <c r="H10" s="4">
        <v>0.31479800000000002</v>
      </c>
      <c r="I10" s="10" t="e">
        <f t="shared" si="0"/>
        <v>#VALUE!</v>
      </c>
      <c r="J10" s="1"/>
      <c r="K10" s="3">
        <v>15662.7</v>
      </c>
      <c r="L10" s="1">
        <v>373</v>
      </c>
      <c r="M10" s="4">
        <v>0.26775900000000002</v>
      </c>
      <c r="N10" s="10" t="e">
        <f t="shared" si="1"/>
        <v>#VALUE!</v>
      </c>
      <c r="O10" s="1"/>
      <c r="P10" s="3">
        <v>19578.3</v>
      </c>
      <c r="Q10" s="1">
        <v>423</v>
      </c>
      <c r="R10" s="4">
        <v>7.77949E-2</v>
      </c>
      <c r="S10" s="10" t="e">
        <f t="shared" si="2"/>
        <v>#VALUE!</v>
      </c>
    </row>
    <row r="11" spans="1:19" x14ac:dyDescent="0.45">
      <c r="A11" s="3">
        <v>22289.200000000001</v>
      </c>
      <c r="B11" s="1">
        <v>323</v>
      </c>
      <c r="C11" s="4">
        <v>0.34374500000000002</v>
      </c>
      <c r="D11" s="10" t="e">
        <f t="shared" si="3"/>
        <v>#VALUE!</v>
      </c>
      <c r="E11" s="1"/>
      <c r="F11" s="3">
        <v>28614.5</v>
      </c>
      <c r="G11" s="1">
        <v>348</v>
      </c>
      <c r="H11" s="4">
        <v>0.32203500000000002</v>
      </c>
      <c r="I11" s="10" t="e">
        <f t="shared" si="0"/>
        <v>#VALUE!</v>
      </c>
      <c r="J11" s="1"/>
      <c r="K11" s="3">
        <v>23192.799999999999</v>
      </c>
      <c r="L11" s="1">
        <v>373</v>
      </c>
      <c r="M11" s="4">
        <v>0.28946899999999998</v>
      </c>
      <c r="N11" s="10" t="e">
        <f t="shared" si="1"/>
        <v>#VALUE!</v>
      </c>
      <c r="O11" s="1"/>
      <c r="P11" s="3">
        <v>25602.400000000001</v>
      </c>
      <c r="Q11" s="1">
        <v>423</v>
      </c>
      <c r="R11" s="4">
        <v>0.11036</v>
      </c>
      <c r="S11" s="10" t="e">
        <f t="shared" si="2"/>
        <v>#VALUE!</v>
      </c>
    </row>
    <row r="12" spans="1:19" x14ac:dyDescent="0.45">
      <c r="A12" s="3">
        <v>34337.300000000003</v>
      </c>
      <c r="B12" s="1">
        <v>323</v>
      </c>
      <c r="C12" s="4">
        <v>0.34736299999999998</v>
      </c>
      <c r="D12" s="10" t="e">
        <f t="shared" si="3"/>
        <v>#VALUE!</v>
      </c>
      <c r="E12" s="1"/>
      <c r="F12" s="3">
        <v>40060.199999999997</v>
      </c>
      <c r="G12" s="1">
        <v>348</v>
      </c>
      <c r="H12" s="4">
        <v>0.32565300000000003</v>
      </c>
      <c r="I12" s="10" t="e">
        <f t="shared" si="0"/>
        <v>#VALUE!</v>
      </c>
      <c r="J12" s="1"/>
      <c r="K12" s="3">
        <v>32530.1</v>
      </c>
      <c r="L12" s="1">
        <v>373</v>
      </c>
      <c r="M12" s="4">
        <v>0.30213400000000001</v>
      </c>
      <c r="N12" s="10" t="e">
        <f t="shared" si="1"/>
        <v>#VALUE!</v>
      </c>
      <c r="O12" s="1"/>
      <c r="P12" s="3">
        <v>33734.9</v>
      </c>
      <c r="Q12" s="1">
        <v>423</v>
      </c>
      <c r="R12" s="4">
        <v>0.15016199999999999</v>
      </c>
      <c r="S12" s="10" t="e">
        <f t="shared" si="2"/>
        <v>#VALUE!</v>
      </c>
    </row>
    <row r="13" spans="1:19" x14ac:dyDescent="0.45">
      <c r="A13" s="3">
        <v>47590.400000000001</v>
      </c>
      <c r="B13" s="1">
        <v>323</v>
      </c>
      <c r="C13" s="4">
        <v>0.34917199999999998</v>
      </c>
      <c r="D13" s="10" t="e">
        <f t="shared" si="3"/>
        <v>#VALUE!</v>
      </c>
      <c r="E13" s="1"/>
      <c r="F13" s="3">
        <v>53313.3</v>
      </c>
      <c r="G13" s="1">
        <v>348</v>
      </c>
      <c r="H13" s="4">
        <v>0.32746199999999998</v>
      </c>
      <c r="I13" s="10" t="e">
        <f t="shared" si="0"/>
        <v>#VALUE!</v>
      </c>
      <c r="J13" s="1"/>
      <c r="K13" s="3">
        <v>40060.199999999997</v>
      </c>
      <c r="L13" s="1">
        <v>373</v>
      </c>
      <c r="M13" s="4">
        <v>0.30756099999999997</v>
      </c>
      <c r="N13" s="10" t="e">
        <f t="shared" si="1"/>
        <v>#VALUE!</v>
      </c>
      <c r="O13" s="1"/>
      <c r="P13" s="3">
        <v>44879.5</v>
      </c>
      <c r="Q13" s="1">
        <v>423</v>
      </c>
      <c r="R13" s="4">
        <v>0.191773</v>
      </c>
      <c r="S13" s="10" t="e">
        <f t="shared" si="2"/>
        <v>#VALUE!</v>
      </c>
    </row>
    <row r="14" spans="1:19" x14ac:dyDescent="0.45">
      <c r="A14" s="3">
        <v>59337.3</v>
      </c>
      <c r="B14" s="1">
        <v>323</v>
      </c>
      <c r="C14" s="4">
        <v>0.34917199999999998</v>
      </c>
      <c r="D14" s="10" t="e">
        <f t="shared" si="3"/>
        <v>#VALUE!</v>
      </c>
      <c r="E14" s="1"/>
      <c r="F14" s="3">
        <v>67771.100000000006</v>
      </c>
      <c r="G14" s="1">
        <v>348</v>
      </c>
      <c r="H14" s="4">
        <v>0.32927099999999998</v>
      </c>
      <c r="I14" s="10" t="e">
        <f t="shared" si="0"/>
        <v>#VALUE!</v>
      </c>
      <c r="J14" s="1"/>
      <c r="K14" s="3">
        <v>52409.599999999999</v>
      </c>
      <c r="L14" s="1">
        <v>373</v>
      </c>
      <c r="M14" s="4">
        <v>0.31117899999999998</v>
      </c>
      <c r="N14" s="10" t="e">
        <f t="shared" si="1"/>
        <v>#VALUE!</v>
      </c>
      <c r="O14" s="1"/>
      <c r="P14" s="3">
        <v>57831.3</v>
      </c>
      <c r="Q14" s="1">
        <v>423</v>
      </c>
      <c r="R14" s="4">
        <v>0.222529</v>
      </c>
      <c r="S14" s="10" t="e">
        <f t="shared" si="2"/>
        <v>#VALUE!</v>
      </c>
    </row>
    <row r="15" spans="1:19" x14ac:dyDescent="0.45">
      <c r="A15" s="3">
        <v>72590.399999999994</v>
      </c>
      <c r="B15" s="1">
        <v>323</v>
      </c>
      <c r="C15" s="4">
        <v>0.34917199999999998</v>
      </c>
      <c r="D15" s="10" t="e">
        <f t="shared" si="3"/>
        <v>#VALUE!</v>
      </c>
      <c r="E15" s="1"/>
      <c r="F15" s="3">
        <v>82530.100000000006</v>
      </c>
      <c r="G15" s="1">
        <v>348</v>
      </c>
      <c r="H15" s="4">
        <v>0.32927099999999998</v>
      </c>
      <c r="I15" s="10" t="e">
        <f t="shared" si="0"/>
        <v>#VALUE!</v>
      </c>
      <c r="J15" s="1"/>
      <c r="K15" s="3">
        <v>64759</v>
      </c>
      <c r="L15" s="1">
        <v>373</v>
      </c>
      <c r="M15" s="4">
        <v>0.31479800000000002</v>
      </c>
      <c r="N15" s="10" t="e">
        <f t="shared" si="1"/>
        <v>#VALUE!</v>
      </c>
      <c r="O15" s="1"/>
      <c r="P15" s="3">
        <v>70180.7</v>
      </c>
      <c r="Q15" s="1">
        <v>423</v>
      </c>
      <c r="R15" s="4">
        <v>0.238812</v>
      </c>
      <c r="S15" s="10" t="e">
        <f t="shared" si="2"/>
        <v>#VALUE!</v>
      </c>
    </row>
    <row r="16" spans="1:19" x14ac:dyDescent="0.45">
      <c r="A16" s="3">
        <v>82530.100000000006</v>
      </c>
      <c r="B16" s="1">
        <v>323</v>
      </c>
      <c r="C16" s="4">
        <v>0.34917199999999998</v>
      </c>
      <c r="D16" s="10" t="e">
        <f t="shared" si="3"/>
        <v>#VALUE!</v>
      </c>
      <c r="E16" s="1"/>
      <c r="F16" s="3">
        <v>99397.6</v>
      </c>
      <c r="G16" s="1">
        <v>348</v>
      </c>
      <c r="H16" s="4">
        <v>0.32927099999999998</v>
      </c>
      <c r="I16" s="10" t="e">
        <f t="shared" si="0"/>
        <v>#VALUE!</v>
      </c>
      <c r="J16" s="1"/>
      <c r="K16" s="3">
        <v>82530.100000000006</v>
      </c>
      <c r="L16" s="1">
        <v>373</v>
      </c>
      <c r="M16" s="4">
        <v>0.31660700000000003</v>
      </c>
      <c r="N16" s="10" t="e">
        <f t="shared" si="1"/>
        <v>#VALUE!</v>
      </c>
      <c r="O16" s="1"/>
      <c r="P16" s="3">
        <v>83433.7</v>
      </c>
      <c r="Q16" s="1">
        <v>423</v>
      </c>
      <c r="R16" s="4">
        <v>0.25147599999999998</v>
      </c>
      <c r="S16" s="10" t="e">
        <f t="shared" si="2"/>
        <v>#VALUE!</v>
      </c>
    </row>
    <row r="17" spans="1:19" ht="14.65" thickBot="1" x14ac:dyDescent="0.5">
      <c r="A17" s="5">
        <v>99096.4</v>
      </c>
      <c r="B17" s="2">
        <v>323</v>
      </c>
      <c r="C17" s="6">
        <v>0.34736299999999998</v>
      </c>
      <c r="D17" s="11" t="e">
        <f t="shared" si="3"/>
        <v>#VALUE!</v>
      </c>
      <c r="E17" s="2"/>
      <c r="F17" s="5"/>
      <c r="G17" s="2"/>
      <c r="H17" s="6"/>
      <c r="I17" s="11"/>
      <c r="J17" s="2"/>
      <c r="K17" s="5">
        <v>98494</v>
      </c>
      <c r="L17" s="2">
        <v>373</v>
      </c>
      <c r="M17" s="6">
        <v>0.31841599999999998</v>
      </c>
      <c r="N17" s="11" t="e">
        <f t="shared" si="1"/>
        <v>#VALUE!</v>
      </c>
      <c r="O17" s="2"/>
      <c r="P17" s="5">
        <v>98494</v>
      </c>
      <c r="Q17" s="2">
        <v>423</v>
      </c>
      <c r="R17" s="6">
        <v>0.25690400000000002</v>
      </c>
      <c r="S17" s="11" t="e">
        <f t="shared" si="2"/>
        <v>#VALUE!</v>
      </c>
    </row>
    <row r="18" spans="1:19" ht="14.65" thickBot="1" x14ac:dyDescent="0.5"/>
    <row r="19" spans="1:19" ht="14.65" thickBot="1" x14ac:dyDescent="0.5">
      <c r="A19" s="171" t="s">
        <v>27</v>
      </c>
      <c r="B19" s="172"/>
      <c r="C19" s="172"/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3"/>
    </row>
    <row r="20" spans="1:19" x14ac:dyDescent="0.45">
      <c r="A20" s="179" t="s">
        <v>10</v>
      </c>
      <c r="B20" s="180"/>
      <c r="C20" s="180"/>
      <c r="D20" s="181"/>
      <c r="E20" s="160" t="s">
        <v>36</v>
      </c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82"/>
    </row>
    <row r="21" spans="1:19" x14ac:dyDescent="0.45">
      <c r="A21" s="179" t="s">
        <v>12</v>
      </c>
      <c r="B21" s="180"/>
      <c r="C21" s="180"/>
      <c r="D21" s="181"/>
      <c r="E21" s="160" t="s">
        <v>37</v>
      </c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82"/>
    </row>
    <row r="22" spans="1:19" x14ac:dyDescent="0.45">
      <c r="A22" s="179" t="s">
        <v>14</v>
      </c>
      <c r="B22" s="180"/>
      <c r="C22" s="180"/>
      <c r="D22" s="181"/>
      <c r="E22" s="160" t="s">
        <v>122</v>
      </c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82"/>
    </row>
    <row r="23" spans="1:19" x14ac:dyDescent="0.45">
      <c r="A23" s="179" t="s">
        <v>16</v>
      </c>
      <c r="B23" s="180"/>
      <c r="C23" s="180"/>
      <c r="D23" s="181"/>
      <c r="E23" s="160" t="s">
        <v>39</v>
      </c>
      <c r="F23" s="160"/>
      <c r="G23" s="160"/>
      <c r="H23" s="160"/>
      <c r="I23" s="180" t="s">
        <v>24</v>
      </c>
      <c r="J23" s="180"/>
      <c r="K23" s="180"/>
      <c r="L23" s="180"/>
      <c r="M23" s="180"/>
      <c r="N23" s="160">
        <v>1</v>
      </c>
      <c r="O23" s="160"/>
      <c r="P23" s="160"/>
      <c r="Q23" s="160"/>
      <c r="R23" s="160"/>
      <c r="S23" s="182"/>
    </row>
    <row r="24" spans="1:19" x14ac:dyDescent="0.45">
      <c r="A24" s="179" t="s">
        <v>18</v>
      </c>
      <c r="B24" s="180"/>
      <c r="C24" s="180"/>
      <c r="D24" s="181"/>
      <c r="E24" s="160" t="s">
        <v>19</v>
      </c>
      <c r="F24" s="160"/>
      <c r="G24" s="160"/>
      <c r="H24" s="160"/>
      <c r="I24" s="188" t="s">
        <v>25</v>
      </c>
      <c r="J24" s="188"/>
      <c r="K24" s="188"/>
      <c r="L24" s="188"/>
      <c r="M24" s="188"/>
      <c r="N24" s="160">
        <v>1</v>
      </c>
      <c r="O24" s="160"/>
      <c r="P24" s="160"/>
      <c r="Q24" s="160"/>
      <c r="R24" s="160"/>
      <c r="S24" s="182"/>
    </row>
    <row r="25" spans="1:19" ht="14.65" thickBot="1" x14ac:dyDescent="0.5">
      <c r="A25" s="183" t="s">
        <v>20</v>
      </c>
      <c r="B25" s="184"/>
      <c r="C25" s="184"/>
      <c r="D25" s="185"/>
      <c r="E25" s="186" t="s">
        <v>21</v>
      </c>
      <c r="F25" s="186"/>
      <c r="G25" s="186"/>
      <c r="H25" s="186"/>
      <c r="I25" s="184" t="s">
        <v>26</v>
      </c>
      <c r="J25" s="184"/>
      <c r="K25" s="184"/>
      <c r="L25" s="184"/>
      <c r="M25" s="184"/>
      <c r="N25" s="186">
        <v>1</v>
      </c>
      <c r="O25" s="186"/>
      <c r="P25" s="186"/>
      <c r="Q25" s="186"/>
      <c r="R25" s="186"/>
      <c r="S25" s="187"/>
    </row>
  </sheetData>
  <mergeCells count="24">
    <mergeCell ref="A19:S19"/>
    <mergeCell ref="A1:S1"/>
    <mergeCell ref="A2:C2"/>
    <mergeCell ref="F2:H2"/>
    <mergeCell ref="K2:M2"/>
    <mergeCell ref="P2:R2"/>
    <mergeCell ref="A20:D20"/>
    <mergeCell ref="E20:S20"/>
    <mergeCell ref="A21:D21"/>
    <mergeCell ref="E21:S21"/>
    <mergeCell ref="A22:D22"/>
    <mergeCell ref="E22:S22"/>
    <mergeCell ref="A25:D25"/>
    <mergeCell ref="E25:H25"/>
    <mergeCell ref="I25:M25"/>
    <mergeCell ref="N25:S25"/>
    <mergeCell ref="A23:D23"/>
    <mergeCell ref="E23:H23"/>
    <mergeCell ref="I23:M23"/>
    <mergeCell ref="N23:S23"/>
    <mergeCell ref="A24:D24"/>
    <mergeCell ref="E24:H24"/>
    <mergeCell ref="I24:M24"/>
    <mergeCell ref="N24:S24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theme="4" tint="0.79998168889431442"/>
  </sheetPr>
  <dimension ref="A1:S27"/>
  <sheetViews>
    <sheetView zoomScaleNormal="100" workbookViewId="0">
      <selection activeCell="S32" sqref="S32"/>
    </sheetView>
  </sheetViews>
  <sheetFormatPr baseColWidth="10" defaultRowHeight="14.25" x14ac:dyDescent="0.45"/>
  <cols>
    <col min="1" max="1" width="8" bestFit="1" customWidth="1"/>
    <col min="2" max="2" width="4.265625" bestFit="1" customWidth="1"/>
    <col min="3" max="3" width="8" bestFit="1" customWidth="1"/>
    <col min="4" max="4" width="13" bestFit="1" customWidth="1"/>
    <col min="5" max="5" width="2.86328125" customWidth="1"/>
    <col min="6" max="6" width="8" bestFit="1" customWidth="1"/>
    <col min="7" max="7" width="4.265625" bestFit="1" customWidth="1"/>
    <col min="8" max="8" width="8" bestFit="1" customWidth="1"/>
    <col min="9" max="9" width="13" bestFit="1" customWidth="1"/>
    <col min="10" max="10" width="2.86328125" customWidth="1"/>
    <col min="11" max="11" width="8" bestFit="1" customWidth="1"/>
    <col min="12" max="12" width="4.265625" bestFit="1" customWidth="1"/>
    <col min="13" max="13" width="8" bestFit="1" customWidth="1"/>
    <col min="14" max="14" width="13" bestFit="1" customWidth="1"/>
    <col min="15" max="15" width="2.86328125" customWidth="1"/>
    <col min="16" max="16" width="8" bestFit="1" customWidth="1"/>
    <col min="17" max="17" width="4.265625" bestFit="1" customWidth="1"/>
    <col min="18" max="18" width="8" bestFit="1" customWidth="1"/>
    <col min="19" max="19" width="13" bestFit="1" customWidth="1"/>
    <col min="20" max="20" width="2.86328125" customWidth="1"/>
  </cols>
  <sheetData>
    <row r="1" spans="1:19" ht="41.65" customHeight="1" thickBot="1" x14ac:dyDescent="0.5">
      <c r="A1" s="174" t="s">
        <v>125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6"/>
    </row>
    <row r="2" spans="1:19" x14ac:dyDescent="0.45">
      <c r="A2" s="177" t="s">
        <v>40</v>
      </c>
      <c r="B2" s="178"/>
      <c r="C2" s="178"/>
      <c r="D2" s="7" t="s">
        <v>41</v>
      </c>
      <c r="E2" s="1"/>
      <c r="F2" s="177" t="s">
        <v>42</v>
      </c>
      <c r="G2" s="178"/>
      <c r="H2" s="178"/>
      <c r="I2" s="7" t="s">
        <v>43</v>
      </c>
      <c r="J2" s="1"/>
      <c r="K2" s="177" t="s">
        <v>44</v>
      </c>
      <c r="L2" s="178"/>
      <c r="M2" s="178"/>
      <c r="N2" s="7" t="s">
        <v>57</v>
      </c>
      <c r="O2" s="1"/>
      <c r="P2" s="177" t="s">
        <v>45</v>
      </c>
      <c r="Q2" s="178"/>
      <c r="R2" s="178"/>
      <c r="S2" s="7" t="s">
        <v>46</v>
      </c>
    </row>
    <row r="3" spans="1:19" x14ac:dyDescent="0.4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4.65" thickBot="1" x14ac:dyDescent="0.5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45">
      <c r="A5" s="3">
        <v>0</v>
      </c>
      <c r="B5" s="1">
        <v>323</v>
      </c>
      <c r="C5" s="4">
        <v>3.3803300000000001E-2</v>
      </c>
      <c r="D5" s="10">
        <v>0</v>
      </c>
      <c r="E5" s="1"/>
      <c r="F5" s="3">
        <v>2431.61</v>
      </c>
      <c r="G5" s="1">
        <v>348</v>
      </c>
      <c r="H5" s="4">
        <v>5.1341900000000003E-2</v>
      </c>
      <c r="I5" s="10" t="e">
        <f t="shared" ref="I5:I18" si="0">ws_direct_ads_w_pT(F5,G5,$E$22,$E$23,$E$24,$E$25,$N$25,$E$26,$N$26,$E$27,$N$27)</f>
        <v>#VALUE!</v>
      </c>
      <c r="J5" s="1"/>
      <c r="K5" s="3">
        <v>303.95100000000002</v>
      </c>
      <c r="L5" s="1">
        <v>373</v>
      </c>
      <c r="M5" s="4">
        <v>1.3515599999999999E-2</v>
      </c>
      <c r="N5" s="10" t="e">
        <f t="shared" ref="N5:N19" si="1">ws_direct_ads_w_pT(K5,L5,$E$22,$E$23,$E$24,$E$25,$N$25,$E$26,$N$26,$E$27,$N$27)</f>
        <v>#VALUE!</v>
      </c>
      <c r="O5" s="1"/>
      <c r="P5" s="3">
        <v>1823.71</v>
      </c>
      <c r="Q5" s="1">
        <v>423</v>
      </c>
      <c r="R5" s="4">
        <v>5.3832200000000002E-3</v>
      </c>
      <c r="S5" s="10" t="e">
        <f t="shared" ref="S5:S18" si="2">ws_direct_ads_w_pT(P5,Q5,$E$22,$E$23,$E$24,$E$25,$N$25,$E$26,$N$26,$E$27,$N$27)</f>
        <v>#VALUE!</v>
      </c>
    </row>
    <row r="6" spans="1:19" x14ac:dyDescent="0.45">
      <c r="A6" s="3">
        <v>911.85400000000004</v>
      </c>
      <c r="B6" s="1">
        <v>323</v>
      </c>
      <c r="C6" s="4">
        <v>8.6513599999999996E-2</v>
      </c>
      <c r="D6" s="10">
        <v>8.3944606425442173E-2</v>
      </c>
      <c r="E6" s="1"/>
      <c r="F6" s="3">
        <v>4559.2700000000004</v>
      </c>
      <c r="G6" s="1">
        <v>348</v>
      </c>
      <c r="H6" s="4">
        <v>9.4576099999999996E-2</v>
      </c>
      <c r="I6" s="10" t="e">
        <f t="shared" si="0"/>
        <v>#VALUE!</v>
      </c>
      <c r="J6" s="1"/>
      <c r="K6" s="3">
        <v>3039.51</v>
      </c>
      <c r="L6" s="1">
        <v>373</v>
      </c>
      <c r="M6" s="4">
        <v>4.0517900000000003E-2</v>
      </c>
      <c r="N6" s="10" t="e">
        <f t="shared" si="1"/>
        <v>#VALUE!</v>
      </c>
      <c r="O6" s="1"/>
      <c r="P6" s="3">
        <v>5471.12</v>
      </c>
      <c r="Q6" s="1">
        <v>423</v>
      </c>
      <c r="R6" s="4">
        <v>1.61496E-2</v>
      </c>
      <c r="S6" s="10" t="e">
        <f t="shared" si="2"/>
        <v>#VALUE!</v>
      </c>
    </row>
    <row r="7" spans="1:19" x14ac:dyDescent="0.45">
      <c r="A7" s="3">
        <v>2735.56</v>
      </c>
      <c r="B7" s="1">
        <v>323</v>
      </c>
      <c r="C7" s="4">
        <v>0.150031</v>
      </c>
      <c r="D7" s="10">
        <v>0.16437220027235286</v>
      </c>
      <c r="E7" s="1"/>
      <c r="F7" s="3">
        <v>7902.74</v>
      </c>
      <c r="G7" s="1">
        <v>348</v>
      </c>
      <c r="H7" s="4">
        <v>0.14185</v>
      </c>
      <c r="I7" s="10" t="e">
        <f t="shared" si="0"/>
        <v>#VALUE!</v>
      </c>
      <c r="J7" s="1"/>
      <c r="K7" s="3">
        <v>6686.93</v>
      </c>
      <c r="L7" s="1">
        <v>373</v>
      </c>
      <c r="M7" s="4">
        <v>7.6971800000000007E-2</v>
      </c>
      <c r="N7" s="10" t="e">
        <f t="shared" si="1"/>
        <v>#VALUE!</v>
      </c>
      <c r="O7" s="1"/>
      <c r="P7" s="3">
        <v>9726.44</v>
      </c>
      <c r="Q7" s="1">
        <v>423</v>
      </c>
      <c r="R7" s="4">
        <v>2.5555899999999999E-2</v>
      </c>
      <c r="S7" s="10" t="e">
        <f t="shared" si="2"/>
        <v>#VALUE!</v>
      </c>
    </row>
    <row r="8" spans="1:19" x14ac:dyDescent="0.45">
      <c r="A8" s="3">
        <v>5167.17</v>
      </c>
      <c r="B8" s="1">
        <v>323</v>
      </c>
      <c r="C8" s="4">
        <v>0.210837</v>
      </c>
      <c r="D8" s="10">
        <v>0.21388793463870434</v>
      </c>
      <c r="E8" s="1"/>
      <c r="F8" s="3">
        <v>12462</v>
      </c>
      <c r="G8" s="1">
        <v>348</v>
      </c>
      <c r="H8" s="4">
        <v>0.18234700000000001</v>
      </c>
      <c r="I8" s="10" t="e">
        <f t="shared" si="0"/>
        <v>#VALUE!</v>
      </c>
      <c r="J8" s="1"/>
      <c r="K8" s="3">
        <v>12766</v>
      </c>
      <c r="L8" s="1">
        <v>373</v>
      </c>
      <c r="M8" s="4">
        <v>0.120153</v>
      </c>
      <c r="N8" s="10" t="e">
        <f t="shared" si="1"/>
        <v>#VALUE!</v>
      </c>
      <c r="O8" s="1"/>
      <c r="P8" s="3">
        <v>14893.6</v>
      </c>
      <c r="Q8" s="1">
        <v>423</v>
      </c>
      <c r="R8" s="4">
        <v>3.9005699999999997E-2</v>
      </c>
      <c r="S8" s="10" t="e">
        <f t="shared" si="2"/>
        <v>#VALUE!</v>
      </c>
    </row>
    <row r="9" spans="1:19" x14ac:dyDescent="0.45">
      <c r="A9" s="3">
        <v>9422.49</v>
      </c>
      <c r="B9" s="1">
        <v>323</v>
      </c>
      <c r="C9" s="4">
        <v>0.25404300000000002</v>
      </c>
      <c r="D9" s="10">
        <v>0.25505968053641648</v>
      </c>
      <c r="E9" s="1"/>
      <c r="F9" s="3">
        <v>17629.2</v>
      </c>
      <c r="G9" s="1">
        <v>348</v>
      </c>
      <c r="H9" s="4">
        <v>0.210669</v>
      </c>
      <c r="I9" s="10" t="e">
        <f t="shared" si="0"/>
        <v>#VALUE!</v>
      </c>
      <c r="J9" s="1"/>
      <c r="K9" s="3">
        <v>19148.900000000001</v>
      </c>
      <c r="L9" s="1">
        <v>373</v>
      </c>
      <c r="M9" s="4">
        <v>0.15251300000000001</v>
      </c>
      <c r="N9" s="10" t="e">
        <f t="shared" si="1"/>
        <v>#VALUE!</v>
      </c>
      <c r="O9" s="1"/>
      <c r="P9" s="3">
        <v>19756.8</v>
      </c>
      <c r="Q9" s="1">
        <v>423</v>
      </c>
      <c r="R9" s="4">
        <v>4.8403700000000001E-2</v>
      </c>
      <c r="S9" s="10" t="e">
        <f t="shared" si="2"/>
        <v>#VALUE!</v>
      </c>
    </row>
    <row r="10" spans="1:19" x14ac:dyDescent="0.45">
      <c r="A10" s="3">
        <v>13981.8</v>
      </c>
      <c r="B10" s="1">
        <v>323</v>
      </c>
      <c r="C10" s="4">
        <v>0.28237200000000001</v>
      </c>
      <c r="D10" s="10">
        <v>0.27780319577849172</v>
      </c>
      <c r="E10" s="1"/>
      <c r="F10" s="3">
        <v>23708.2</v>
      </c>
      <c r="G10" s="1">
        <v>348</v>
      </c>
      <c r="H10" s="4">
        <v>0.23492199999999999</v>
      </c>
      <c r="I10" s="10" t="e">
        <f t="shared" si="0"/>
        <v>#VALUE!</v>
      </c>
      <c r="J10" s="1"/>
      <c r="K10" s="3">
        <v>27963.5</v>
      </c>
      <c r="L10" s="1">
        <v>373</v>
      </c>
      <c r="M10" s="4">
        <v>0.18213799999999999</v>
      </c>
      <c r="N10" s="10" t="e">
        <f t="shared" si="1"/>
        <v>#VALUE!</v>
      </c>
      <c r="O10" s="1"/>
      <c r="P10" s="3">
        <v>26747.7</v>
      </c>
      <c r="Q10" s="1">
        <v>423</v>
      </c>
      <c r="R10" s="4">
        <v>6.3180899999999998E-2</v>
      </c>
      <c r="S10" s="10" t="e">
        <f t="shared" si="2"/>
        <v>#VALUE!</v>
      </c>
    </row>
    <row r="11" spans="1:19" x14ac:dyDescent="0.45">
      <c r="A11" s="3">
        <v>18845</v>
      </c>
      <c r="B11" s="1">
        <v>323</v>
      </c>
      <c r="C11" s="4">
        <v>0.29853000000000002</v>
      </c>
      <c r="D11" s="10">
        <v>0.29252363157415534</v>
      </c>
      <c r="E11" s="1"/>
      <c r="F11" s="3">
        <v>33434.699999999997</v>
      </c>
      <c r="G11" s="1">
        <v>348</v>
      </c>
      <c r="H11" s="4">
        <v>0.25912600000000002</v>
      </c>
      <c r="I11" s="10" t="e">
        <f t="shared" si="0"/>
        <v>#VALUE!</v>
      </c>
      <c r="J11" s="1"/>
      <c r="K11" s="3">
        <v>35258.400000000001</v>
      </c>
      <c r="L11" s="1">
        <v>373</v>
      </c>
      <c r="M11" s="4">
        <v>0.20096700000000001</v>
      </c>
      <c r="N11" s="10" t="e">
        <f t="shared" si="1"/>
        <v>#VALUE!</v>
      </c>
      <c r="O11" s="1"/>
      <c r="P11" s="3">
        <v>35258.400000000001</v>
      </c>
      <c r="Q11" s="1">
        <v>423</v>
      </c>
      <c r="R11" s="4">
        <v>7.9289399999999996E-2</v>
      </c>
      <c r="S11" s="10" t="e">
        <f t="shared" si="2"/>
        <v>#VALUE!</v>
      </c>
    </row>
    <row r="12" spans="1:19" x14ac:dyDescent="0.45">
      <c r="A12" s="3">
        <v>25531.9</v>
      </c>
      <c r="B12" s="1">
        <v>323</v>
      </c>
      <c r="C12" s="4">
        <v>0.31060700000000002</v>
      </c>
      <c r="D12" s="10">
        <v>0.3052594097873722</v>
      </c>
      <c r="E12" s="1"/>
      <c r="F12" s="3">
        <v>39817.599999999999</v>
      </c>
      <c r="G12" s="1">
        <v>348</v>
      </c>
      <c r="H12" s="4">
        <v>0.272559</v>
      </c>
      <c r="I12" s="10" t="e">
        <f t="shared" si="0"/>
        <v>#VALUE!</v>
      </c>
      <c r="J12" s="1"/>
      <c r="K12" s="3">
        <v>41033.4</v>
      </c>
      <c r="L12" s="1">
        <v>373</v>
      </c>
      <c r="M12" s="4">
        <v>0.213056</v>
      </c>
      <c r="N12" s="10" t="e">
        <f t="shared" si="1"/>
        <v>#VALUE!</v>
      </c>
      <c r="O12" s="1"/>
      <c r="P12" s="3">
        <v>40425.5</v>
      </c>
      <c r="Q12" s="1">
        <v>423</v>
      </c>
      <c r="R12" s="4">
        <v>8.7331400000000003E-2</v>
      </c>
      <c r="S12" s="10" t="e">
        <f t="shared" si="2"/>
        <v>#VALUE!</v>
      </c>
    </row>
    <row r="13" spans="1:19" x14ac:dyDescent="0.45">
      <c r="A13" s="3">
        <v>34346.5</v>
      </c>
      <c r="B13" s="1">
        <v>323</v>
      </c>
      <c r="C13" s="4">
        <v>0.31724799999999997</v>
      </c>
      <c r="D13" s="10">
        <v>0.3155527165489741</v>
      </c>
      <c r="E13" s="1"/>
      <c r="F13" s="3">
        <v>50759.9</v>
      </c>
      <c r="G13" s="1">
        <v>348</v>
      </c>
      <c r="H13" s="4">
        <v>0.28322700000000001</v>
      </c>
      <c r="I13" s="10" t="e">
        <f t="shared" si="0"/>
        <v>#VALUE!</v>
      </c>
      <c r="J13" s="1"/>
      <c r="K13" s="3">
        <v>47720.4</v>
      </c>
      <c r="L13" s="1">
        <v>373</v>
      </c>
      <c r="M13" s="4">
        <v>0.22378200000000001</v>
      </c>
      <c r="N13" s="10" t="e">
        <f t="shared" si="1"/>
        <v>#VALUE!</v>
      </c>
      <c r="O13" s="1"/>
      <c r="P13" s="3">
        <v>49848</v>
      </c>
      <c r="Q13" s="1">
        <v>423</v>
      </c>
      <c r="R13" s="4">
        <v>0.10342800000000001</v>
      </c>
      <c r="S13" s="10" t="e">
        <f t="shared" si="2"/>
        <v>#VALUE!</v>
      </c>
    </row>
    <row r="14" spans="1:19" x14ac:dyDescent="0.45">
      <c r="A14" s="3">
        <v>40121.599999999999</v>
      </c>
      <c r="B14" s="1">
        <v>323</v>
      </c>
      <c r="C14" s="4">
        <v>0.32257799999999998</v>
      </c>
      <c r="D14" s="10">
        <v>0.32014024112815848</v>
      </c>
      <c r="E14" s="1"/>
      <c r="F14" s="3">
        <v>59878.400000000001</v>
      </c>
      <c r="G14" s="1">
        <v>348</v>
      </c>
      <c r="H14" s="4">
        <v>0.29121599999999997</v>
      </c>
      <c r="I14" s="10" t="e">
        <f t="shared" si="0"/>
        <v>#VALUE!</v>
      </c>
      <c r="J14" s="1"/>
      <c r="K14" s="3">
        <v>53495.4</v>
      </c>
      <c r="L14" s="1">
        <v>373</v>
      </c>
      <c r="M14" s="4">
        <v>0.23181499999999999</v>
      </c>
      <c r="N14" s="10" t="e">
        <f t="shared" si="1"/>
        <v>#VALUE!</v>
      </c>
      <c r="O14" s="1"/>
      <c r="P14" s="3">
        <v>59574.5</v>
      </c>
      <c r="Q14" s="1">
        <v>423</v>
      </c>
      <c r="R14" s="4">
        <v>0.115464</v>
      </c>
      <c r="S14" s="10" t="e">
        <f t="shared" si="2"/>
        <v>#VALUE!</v>
      </c>
    </row>
    <row r="15" spans="1:19" x14ac:dyDescent="0.45">
      <c r="A15" s="3">
        <v>52279.6</v>
      </c>
      <c r="B15" s="1">
        <v>323</v>
      </c>
      <c r="C15" s="4">
        <v>0.32511699999999999</v>
      </c>
      <c r="D15" s="10">
        <v>0.3267756265727178</v>
      </c>
      <c r="E15" s="1"/>
      <c r="F15" s="3">
        <v>70516.7</v>
      </c>
      <c r="G15" s="1">
        <v>348</v>
      </c>
      <c r="H15" s="4">
        <v>0.29648000000000002</v>
      </c>
      <c r="I15" s="10" t="e">
        <f t="shared" si="0"/>
        <v>#VALUE!</v>
      </c>
      <c r="J15" s="1"/>
      <c r="K15" s="3">
        <v>60182.400000000001</v>
      </c>
      <c r="L15" s="1">
        <v>373</v>
      </c>
      <c r="M15" s="4">
        <v>0.23983699999999999</v>
      </c>
      <c r="N15" s="10" t="e">
        <f t="shared" si="1"/>
        <v>#VALUE!</v>
      </c>
      <c r="O15" s="1"/>
      <c r="P15" s="3">
        <v>70820.7</v>
      </c>
      <c r="Q15" s="1">
        <v>423</v>
      </c>
      <c r="R15" s="4">
        <v>0.13153500000000001</v>
      </c>
      <c r="S15" s="10" t="e">
        <f t="shared" si="2"/>
        <v>#VALUE!</v>
      </c>
    </row>
    <row r="16" spans="1:19" x14ac:dyDescent="0.45">
      <c r="A16" s="3">
        <v>64133.7</v>
      </c>
      <c r="B16" s="1">
        <v>323</v>
      </c>
      <c r="C16" s="4">
        <v>0.32766099999999998</v>
      </c>
      <c r="D16" s="10">
        <v>0.33097835034439249</v>
      </c>
      <c r="E16" s="1"/>
      <c r="F16" s="3">
        <v>80243.199999999997</v>
      </c>
      <c r="G16" s="1">
        <v>348</v>
      </c>
      <c r="H16" s="4">
        <v>0.300404</v>
      </c>
      <c r="I16" s="10" t="e">
        <f t="shared" si="0"/>
        <v>#VALUE!</v>
      </c>
      <c r="J16" s="1"/>
      <c r="K16" s="3">
        <v>69908.800000000003</v>
      </c>
      <c r="L16" s="1">
        <v>373</v>
      </c>
      <c r="M16" s="4">
        <v>0.249169</v>
      </c>
      <c r="N16" s="10" t="e">
        <f t="shared" si="1"/>
        <v>#VALUE!</v>
      </c>
      <c r="O16" s="1"/>
      <c r="P16" s="3">
        <v>80243.199999999997</v>
      </c>
      <c r="Q16" s="1">
        <v>423</v>
      </c>
      <c r="R16" s="4">
        <v>0.140872</v>
      </c>
      <c r="S16" s="10" t="e">
        <f t="shared" si="2"/>
        <v>#VALUE!</v>
      </c>
    </row>
    <row r="17" spans="1:19" x14ac:dyDescent="0.45">
      <c r="A17" s="3">
        <v>75683.899999999994</v>
      </c>
      <c r="B17" s="1">
        <v>323</v>
      </c>
      <c r="C17" s="4">
        <v>0.33020899999999997</v>
      </c>
      <c r="D17" s="10">
        <v>0.33386391062617299</v>
      </c>
      <c r="E17" s="1"/>
      <c r="F17" s="3">
        <v>90577.5</v>
      </c>
      <c r="G17" s="1">
        <v>348</v>
      </c>
      <c r="H17" s="4">
        <v>0.301616</v>
      </c>
      <c r="I17" s="10" t="e">
        <f t="shared" si="0"/>
        <v>#VALUE!</v>
      </c>
      <c r="J17" s="1"/>
      <c r="K17" s="3">
        <v>79939.199999999997</v>
      </c>
      <c r="L17" s="1">
        <v>373</v>
      </c>
      <c r="M17" s="4">
        <v>0.25714500000000001</v>
      </c>
      <c r="N17" s="10" t="e">
        <f t="shared" si="1"/>
        <v>#VALUE!</v>
      </c>
      <c r="O17" s="1"/>
      <c r="P17" s="3">
        <v>92401.2</v>
      </c>
      <c r="Q17" s="1">
        <v>423</v>
      </c>
      <c r="R17" s="4">
        <v>0.15152299999999999</v>
      </c>
      <c r="S17" s="10" t="e">
        <f t="shared" si="2"/>
        <v>#VALUE!</v>
      </c>
    </row>
    <row r="18" spans="1:19" x14ac:dyDescent="0.45">
      <c r="A18" s="3">
        <v>87841.9</v>
      </c>
      <c r="B18" s="1">
        <v>323</v>
      </c>
      <c r="C18" s="4">
        <v>0.331397</v>
      </c>
      <c r="D18" s="10">
        <v>0.33610628157792982</v>
      </c>
      <c r="E18" s="1"/>
      <c r="F18" s="3">
        <v>99088.1</v>
      </c>
      <c r="G18" s="1">
        <v>348</v>
      </c>
      <c r="H18" s="4">
        <v>0.304205</v>
      </c>
      <c r="I18" s="10" t="e">
        <f t="shared" si="0"/>
        <v>#VALUE!</v>
      </c>
      <c r="J18" s="1"/>
      <c r="K18" s="3">
        <v>90273.600000000006</v>
      </c>
      <c r="L18" s="1">
        <v>373</v>
      </c>
      <c r="M18" s="4">
        <v>0.26376500000000003</v>
      </c>
      <c r="N18" s="10" t="e">
        <f t="shared" si="1"/>
        <v>#VALUE!</v>
      </c>
      <c r="O18" s="1"/>
      <c r="P18" s="3">
        <v>99088.1</v>
      </c>
      <c r="Q18" s="1">
        <v>423</v>
      </c>
      <c r="R18" s="4">
        <v>0.15684100000000001</v>
      </c>
      <c r="S18" s="10" t="e">
        <f t="shared" si="2"/>
        <v>#VALUE!</v>
      </c>
    </row>
    <row r="19" spans="1:19" ht="14.65" thickBot="1" x14ac:dyDescent="0.5">
      <c r="A19" s="5">
        <v>99392.1</v>
      </c>
      <c r="B19" s="2">
        <v>323</v>
      </c>
      <c r="C19" s="6">
        <v>0.33123999999999998</v>
      </c>
      <c r="D19" s="11">
        <v>0.33773811920180768</v>
      </c>
      <c r="E19" s="2"/>
      <c r="F19" s="5"/>
      <c r="G19" s="2"/>
      <c r="H19" s="6"/>
      <c r="I19" s="11"/>
      <c r="J19" s="2"/>
      <c r="K19" s="5">
        <v>99392.1</v>
      </c>
      <c r="L19" s="2">
        <v>373</v>
      </c>
      <c r="M19" s="6">
        <v>0.26769799999999999</v>
      </c>
      <c r="N19" s="11" t="e">
        <f t="shared" si="1"/>
        <v>#VALUE!</v>
      </c>
      <c r="O19" s="2"/>
      <c r="P19" s="5"/>
      <c r="Q19" s="2"/>
      <c r="R19" s="6"/>
      <c r="S19" s="11"/>
    </row>
    <row r="20" spans="1:19" ht="14.65" thickBot="1" x14ac:dyDescent="0.5"/>
    <row r="21" spans="1:19" ht="14.65" thickBot="1" x14ac:dyDescent="0.5">
      <c r="A21" s="171" t="s">
        <v>27</v>
      </c>
      <c r="B21" s="172"/>
      <c r="C21" s="172"/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3"/>
    </row>
    <row r="22" spans="1:19" x14ac:dyDescent="0.45">
      <c r="A22" s="179" t="s">
        <v>10</v>
      </c>
      <c r="B22" s="180"/>
      <c r="C22" s="180"/>
      <c r="D22" s="181"/>
      <c r="E22" s="160" t="s">
        <v>36</v>
      </c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82"/>
    </row>
    <row r="23" spans="1:19" x14ac:dyDescent="0.45">
      <c r="A23" s="179" t="s">
        <v>12</v>
      </c>
      <c r="B23" s="180"/>
      <c r="C23" s="180"/>
      <c r="D23" s="181"/>
      <c r="E23" s="160" t="s">
        <v>37</v>
      </c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82"/>
    </row>
    <row r="24" spans="1:19" x14ac:dyDescent="0.45">
      <c r="A24" s="179" t="s">
        <v>14</v>
      </c>
      <c r="B24" s="180"/>
      <c r="C24" s="180"/>
      <c r="D24" s="181"/>
      <c r="E24" s="160" t="s">
        <v>124</v>
      </c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82"/>
    </row>
    <row r="25" spans="1:19" x14ac:dyDescent="0.45">
      <c r="A25" s="179" t="s">
        <v>16</v>
      </c>
      <c r="B25" s="180"/>
      <c r="C25" s="180"/>
      <c r="D25" s="181"/>
      <c r="E25" s="160" t="s">
        <v>39</v>
      </c>
      <c r="F25" s="160"/>
      <c r="G25" s="160"/>
      <c r="H25" s="160"/>
      <c r="I25" s="180" t="s">
        <v>24</v>
      </c>
      <c r="J25" s="180"/>
      <c r="K25" s="180"/>
      <c r="L25" s="180"/>
      <c r="M25" s="180"/>
      <c r="N25" s="160">
        <v>1</v>
      </c>
      <c r="O25" s="160"/>
      <c r="P25" s="160"/>
      <c r="Q25" s="160"/>
      <c r="R25" s="160"/>
      <c r="S25" s="182"/>
    </row>
    <row r="26" spans="1:19" x14ac:dyDescent="0.45">
      <c r="A26" s="179" t="s">
        <v>18</v>
      </c>
      <c r="B26" s="180"/>
      <c r="C26" s="180"/>
      <c r="D26" s="181"/>
      <c r="E26" s="160" t="s">
        <v>19</v>
      </c>
      <c r="F26" s="160"/>
      <c r="G26" s="160"/>
      <c r="H26" s="160"/>
      <c r="I26" s="188" t="s">
        <v>25</v>
      </c>
      <c r="J26" s="188"/>
      <c r="K26" s="188"/>
      <c r="L26" s="188"/>
      <c r="M26" s="188"/>
      <c r="N26" s="160">
        <v>1</v>
      </c>
      <c r="O26" s="160"/>
      <c r="P26" s="160"/>
      <c r="Q26" s="160"/>
      <c r="R26" s="160"/>
      <c r="S26" s="182"/>
    </row>
    <row r="27" spans="1:19" ht="14.65" thickBot="1" x14ac:dyDescent="0.5">
      <c r="A27" s="183" t="s">
        <v>20</v>
      </c>
      <c r="B27" s="184"/>
      <c r="C27" s="184"/>
      <c r="D27" s="185"/>
      <c r="E27" s="186" t="s">
        <v>21</v>
      </c>
      <c r="F27" s="186"/>
      <c r="G27" s="186"/>
      <c r="H27" s="186"/>
      <c r="I27" s="184" t="s">
        <v>26</v>
      </c>
      <c r="J27" s="184"/>
      <c r="K27" s="184"/>
      <c r="L27" s="184"/>
      <c r="M27" s="184"/>
      <c r="N27" s="186">
        <v>1</v>
      </c>
      <c r="O27" s="186"/>
      <c r="P27" s="186"/>
      <c r="Q27" s="186"/>
      <c r="R27" s="186"/>
      <c r="S27" s="187"/>
    </row>
  </sheetData>
  <mergeCells count="24">
    <mergeCell ref="A21:S21"/>
    <mergeCell ref="A1:S1"/>
    <mergeCell ref="A2:C2"/>
    <mergeCell ref="F2:H2"/>
    <mergeCell ref="K2:M2"/>
    <mergeCell ref="P2:R2"/>
    <mergeCell ref="A22:D22"/>
    <mergeCell ref="E22:S22"/>
    <mergeCell ref="A23:D23"/>
    <mergeCell ref="E23:S23"/>
    <mergeCell ref="A24:D24"/>
    <mergeCell ref="E24:S24"/>
    <mergeCell ref="A27:D27"/>
    <mergeCell ref="E27:H27"/>
    <mergeCell ref="I27:M27"/>
    <mergeCell ref="N27:S27"/>
    <mergeCell ref="A25:D25"/>
    <mergeCell ref="E25:H25"/>
    <mergeCell ref="I25:M25"/>
    <mergeCell ref="N25:S25"/>
    <mergeCell ref="A26:D26"/>
    <mergeCell ref="E26:H26"/>
    <mergeCell ref="I26:M26"/>
    <mergeCell ref="N26:S2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4" tint="0.79998168889431442"/>
  </sheetPr>
  <dimension ref="A1:S26"/>
  <sheetViews>
    <sheetView zoomScaleNormal="100" workbookViewId="0">
      <selection activeCell="F28" sqref="F28"/>
    </sheetView>
  </sheetViews>
  <sheetFormatPr baseColWidth="10" defaultRowHeight="14.25" x14ac:dyDescent="0.45"/>
  <cols>
    <col min="1" max="1" width="8" bestFit="1" customWidth="1"/>
    <col min="2" max="2" width="6" bestFit="1" customWidth="1"/>
    <col min="3" max="3" width="8" bestFit="1" customWidth="1"/>
    <col min="4" max="4" width="14.59765625" bestFit="1" customWidth="1"/>
    <col min="5" max="5" width="2.86328125" customWidth="1"/>
    <col min="6" max="6" width="7" bestFit="1" customWidth="1"/>
    <col min="7" max="7" width="6" bestFit="1" customWidth="1"/>
    <col min="8" max="8" width="8" bestFit="1" customWidth="1"/>
    <col min="9" max="9" width="14.59765625" bestFit="1" customWidth="1"/>
    <col min="10" max="10" width="2.86328125" customWidth="1"/>
    <col min="11" max="11" width="7" bestFit="1" customWidth="1"/>
    <col min="12" max="12" width="6" bestFit="1" customWidth="1"/>
    <col min="13" max="13" width="8" bestFit="1" customWidth="1"/>
    <col min="14" max="14" width="14.59765625" bestFit="1" customWidth="1"/>
    <col min="15" max="15" width="2.86328125" customWidth="1"/>
    <col min="16" max="16" width="8" bestFit="1" customWidth="1"/>
    <col min="17" max="17" width="6" bestFit="1" customWidth="1"/>
    <col min="18" max="18" width="8" bestFit="1" customWidth="1"/>
    <col min="19" max="19" width="14.59765625" bestFit="1" customWidth="1"/>
    <col min="20" max="20" width="2.86328125" customWidth="1"/>
  </cols>
  <sheetData>
    <row r="1" spans="1:19" ht="41.65" customHeight="1" thickBot="1" x14ac:dyDescent="0.5">
      <c r="A1" s="174" t="s">
        <v>29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6"/>
    </row>
    <row r="2" spans="1:19" x14ac:dyDescent="0.45">
      <c r="A2" s="177" t="s">
        <v>0</v>
      </c>
      <c r="B2" s="178"/>
      <c r="C2" s="178"/>
      <c r="D2" s="7" t="s">
        <v>23</v>
      </c>
      <c r="E2" s="1"/>
      <c r="F2" s="177" t="s">
        <v>1</v>
      </c>
      <c r="G2" s="178"/>
      <c r="H2" s="178"/>
      <c r="I2" s="7" t="s">
        <v>22</v>
      </c>
      <c r="J2" s="1"/>
      <c r="K2" s="177" t="s">
        <v>2</v>
      </c>
      <c r="L2" s="178"/>
      <c r="M2" s="178"/>
      <c r="N2" s="7" t="s">
        <v>47</v>
      </c>
      <c r="O2" s="1"/>
      <c r="P2" s="177" t="s">
        <v>3</v>
      </c>
      <c r="Q2" s="178"/>
      <c r="R2" s="178"/>
      <c r="S2" s="7" t="s">
        <v>28</v>
      </c>
    </row>
    <row r="3" spans="1:19" x14ac:dyDescent="0.4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4.65" thickBot="1" x14ac:dyDescent="0.5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45">
      <c r="A5" s="3">
        <v>50048.9</v>
      </c>
      <c r="B5" s="1">
        <v>294.5</v>
      </c>
      <c r="C5" s="4">
        <v>6.8276900000000001E-2</v>
      </c>
      <c r="D5" s="10" t="e">
        <f>ws_direct_ads_w_pT(A5,B5,$E$21,$E$22,$E$23,$E$24,$N$24,$E$25,$N$25,$E$26,$N$26)</f>
        <v>#VALUE!</v>
      </c>
      <c r="E5" s="1"/>
      <c r="F5" s="3">
        <v>52256</v>
      </c>
      <c r="G5" s="1">
        <v>303.10000000000002</v>
      </c>
      <c r="H5" s="4">
        <v>5.4853899999999997E-2</v>
      </c>
      <c r="I5" s="10" t="e">
        <f t="shared" ref="I5:I18" si="0">ws_direct_ads_w_pT(F5,G5,$E$21,$E$22,$E$23,$E$24,$N$24,$E$25,$N$25,$E$26,$N$26)</f>
        <v>#VALUE!</v>
      </c>
      <c r="J5" s="1"/>
      <c r="K5" s="3">
        <v>51346</v>
      </c>
      <c r="L5" s="1">
        <v>329.9</v>
      </c>
      <c r="M5" s="4">
        <v>3.5680499999999997E-2</v>
      </c>
      <c r="N5" s="10" t="e">
        <f t="shared" ref="N5:N18" si="1">ws_direct_ads_w_pT(K5,L5,$E$21,$E$22,$E$23,$E$24,$N$24,$E$25,$N$25,$E$26,$N$26)</f>
        <v>#VALUE!</v>
      </c>
      <c r="O5" s="1"/>
      <c r="P5" s="3">
        <v>51428.5</v>
      </c>
      <c r="Q5" s="1">
        <v>348.3</v>
      </c>
      <c r="R5" s="4">
        <v>2.46555E-2</v>
      </c>
      <c r="S5" s="10" t="e">
        <f t="shared" ref="S5:S18" si="2">ws_direct_ads_w_pT(P5,Q5,$E$21,$E$22,$E$23,$E$24,$N$24,$E$25,$N$25,$E$26,$N$26)</f>
        <v>#VALUE!</v>
      </c>
    </row>
    <row r="6" spans="1:19" x14ac:dyDescent="0.45">
      <c r="A6" s="3">
        <v>100254</v>
      </c>
      <c r="B6" s="1">
        <v>294.5</v>
      </c>
      <c r="C6" s="4">
        <v>0.115702</v>
      </c>
      <c r="D6" s="10" t="e">
        <f>ws_direct_ads_w_pT(A6,B6,$E$21,$E$22,$E$23,$E$24,$N$24,$E$25,$N$25,$E$26,$N$26)</f>
        <v>#VALUE!</v>
      </c>
      <c r="E6" s="1"/>
      <c r="F6" s="3">
        <v>99412</v>
      </c>
      <c r="G6" s="1">
        <v>303.10000000000002</v>
      </c>
      <c r="H6" s="4">
        <v>8.7421200000000004E-2</v>
      </c>
      <c r="I6" s="10" t="e">
        <f t="shared" si="0"/>
        <v>#VALUE!</v>
      </c>
      <c r="J6" s="1"/>
      <c r="K6" s="3">
        <v>100159</v>
      </c>
      <c r="L6" s="1">
        <v>329.9</v>
      </c>
      <c r="M6" s="4">
        <v>5.7940899999999997E-2</v>
      </c>
      <c r="N6" s="10" t="e">
        <f t="shared" si="1"/>
        <v>#VALUE!</v>
      </c>
      <c r="O6" s="1"/>
      <c r="P6" s="3">
        <v>101342</v>
      </c>
      <c r="Q6" s="1">
        <v>348.3</v>
      </c>
      <c r="R6" s="4">
        <v>4.0683700000000003E-2</v>
      </c>
      <c r="S6" s="10" t="e">
        <f t="shared" si="2"/>
        <v>#VALUE!</v>
      </c>
    </row>
    <row r="7" spans="1:19" x14ac:dyDescent="0.45">
      <c r="A7" s="3">
        <v>147507</v>
      </c>
      <c r="B7" s="1">
        <v>294.5</v>
      </c>
      <c r="C7" s="4">
        <v>0.135327</v>
      </c>
      <c r="D7" s="10" t="e">
        <f t="shared" ref="D7:D18" si="3">ws_direct_ads_w_pT(A7,B7,$E$21,$E$22,$E$23,$E$24,$N$24,$E$25,$N$25,$E$26,$N$26)</f>
        <v>#VALUE!</v>
      </c>
      <c r="E7" s="1"/>
      <c r="F7" s="3">
        <v>147607</v>
      </c>
      <c r="G7" s="1">
        <v>303.10000000000002</v>
      </c>
      <c r="H7" s="4">
        <v>0.121905</v>
      </c>
      <c r="I7" s="10" t="e">
        <f t="shared" si="0"/>
        <v>#VALUE!</v>
      </c>
      <c r="J7" s="1"/>
      <c r="K7" s="3">
        <v>146355</v>
      </c>
      <c r="L7" s="1">
        <v>329.9</v>
      </c>
      <c r="M7" s="4">
        <v>7.8045799999999999E-2</v>
      </c>
      <c r="N7" s="10" t="e">
        <f t="shared" si="1"/>
        <v>#VALUE!</v>
      </c>
      <c r="O7" s="1"/>
      <c r="P7" s="3">
        <v>147047</v>
      </c>
      <c r="Q7" s="1">
        <v>348.3</v>
      </c>
      <c r="R7" s="4">
        <v>5.5995400000000001E-2</v>
      </c>
      <c r="S7" s="10" t="e">
        <f t="shared" si="2"/>
        <v>#VALUE!</v>
      </c>
    </row>
    <row r="8" spans="1:19" x14ac:dyDescent="0.45">
      <c r="A8" s="3">
        <v>201018</v>
      </c>
      <c r="B8" s="1">
        <v>294.5</v>
      </c>
      <c r="C8" s="4">
        <v>0.16309699999999999</v>
      </c>
      <c r="D8" s="10" t="e">
        <f t="shared" si="3"/>
        <v>#VALUE!</v>
      </c>
      <c r="E8" s="1"/>
      <c r="F8" s="3">
        <v>200623</v>
      </c>
      <c r="G8" s="1">
        <v>303.10000000000002</v>
      </c>
      <c r="H8" s="4">
        <v>0.14560100000000001</v>
      </c>
      <c r="I8" s="10" t="e">
        <f t="shared" si="0"/>
        <v>#VALUE!</v>
      </c>
      <c r="J8" s="1"/>
      <c r="K8" s="3">
        <v>201544</v>
      </c>
      <c r="L8" s="1">
        <v>329.9</v>
      </c>
      <c r="M8" s="4">
        <v>9.2872499999999997E-2</v>
      </c>
      <c r="N8" s="10" t="e">
        <f t="shared" si="1"/>
        <v>#VALUE!</v>
      </c>
      <c r="O8" s="1"/>
      <c r="P8" s="3">
        <v>201712</v>
      </c>
      <c r="Q8" s="1">
        <v>348.3</v>
      </c>
      <c r="R8" s="4">
        <v>7.0343100000000006E-2</v>
      </c>
      <c r="S8" s="10" t="e">
        <f t="shared" si="2"/>
        <v>#VALUE!</v>
      </c>
    </row>
    <row r="9" spans="1:19" x14ac:dyDescent="0.45">
      <c r="A9" s="3">
        <v>245649</v>
      </c>
      <c r="B9" s="1">
        <v>294.5</v>
      </c>
      <c r="C9" s="4">
        <v>0.181285</v>
      </c>
      <c r="D9" s="10" t="e">
        <f t="shared" si="3"/>
        <v>#VALUE!</v>
      </c>
      <c r="E9" s="1"/>
      <c r="F9" s="3">
        <v>247356</v>
      </c>
      <c r="G9" s="1">
        <v>303.10000000000002</v>
      </c>
      <c r="H9" s="4">
        <v>0.164268</v>
      </c>
      <c r="I9" s="10" t="e">
        <f t="shared" si="0"/>
        <v>#VALUE!</v>
      </c>
      <c r="J9" s="1"/>
      <c r="K9" s="3">
        <v>247781</v>
      </c>
      <c r="L9" s="1">
        <v>329.9</v>
      </c>
      <c r="M9" s="4">
        <v>0.107465</v>
      </c>
      <c r="N9" s="10" t="e">
        <f t="shared" si="1"/>
        <v>#VALUE!</v>
      </c>
      <c r="O9" s="1"/>
      <c r="P9" s="3">
        <v>247453</v>
      </c>
      <c r="Q9" s="1">
        <v>348.3</v>
      </c>
      <c r="R9" s="4">
        <v>8.0861299999999997E-2</v>
      </c>
      <c r="S9" s="10" t="e">
        <f t="shared" si="2"/>
        <v>#VALUE!</v>
      </c>
    </row>
    <row r="10" spans="1:19" x14ac:dyDescent="0.45">
      <c r="A10" s="3">
        <v>293980</v>
      </c>
      <c r="B10" s="1">
        <v>294.5</v>
      </c>
      <c r="C10" s="4">
        <v>0.19755400000000001</v>
      </c>
      <c r="D10" s="10" t="e">
        <f t="shared" si="3"/>
        <v>#VALUE!</v>
      </c>
      <c r="E10" s="1"/>
      <c r="F10" s="3">
        <v>294161</v>
      </c>
      <c r="G10" s="1">
        <v>303.10000000000002</v>
      </c>
      <c r="H10" s="4">
        <v>0.173347</v>
      </c>
      <c r="I10" s="10" t="e">
        <f t="shared" si="0"/>
        <v>#VALUE!</v>
      </c>
      <c r="J10" s="1"/>
      <c r="K10" s="3">
        <v>294568</v>
      </c>
      <c r="L10" s="1">
        <v>329.9</v>
      </c>
      <c r="M10" s="4">
        <v>0.11894100000000001</v>
      </c>
      <c r="N10" s="10" t="e">
        <f t="shared" si="1"/>
        <v>#VALUE!</v>
      </c>
      <c r="O10" s="1"/>
      <c r="P10" s="3">
        <v>295310</v>
      </c>
      <c r="Q10" s="1">
        <v>348.3</v>
      </c>
      <c r="R10" s="4">
        <v>9.0179899999999993E-2</v>
      </c>
      <c r="S10" s="10" t="e">
        <f t="shared" si="2"/>
        <v>#VALUE!</v>
      </c>
    </row>
    <row r="11" spans="1:19" x14ac:dyDescent="0.45">
      <c r="A11" s="3">
        <v>347060</v>
      </c>
      <c r="B11" s="1">
        <v>294.5</v>
      </c>
      <c r="C11" s="4">
        <v>0.21262200000000001</v>
      </c>
      <c r="D11" s="10" t="e">
        <f t="shared" si="3"/>
        <v>#VALUE!</v>
      </c>
      <c r="E11" s="1"/>
      <c r="F11" s="3">
        <v>346175</v>
      </c>
      <c r="G11" s="1">
        <v>303.10000000000002</v>
      </c>
      <c r="H11" s="4">
        <v>0.19009300000000001</v>
      </c>
      <c r="I11" s="10" t="e">
        <f t="shared" si="0"/>
        <v>#VALUE!</v>
      </c>
      <c r="J11" s="1"/>
      <c r="K11" s="3">
        <v>346086</v>
      </c>
      <c r="L11" s="1">
        <v>329.9</v>
      </c>
      <c r="M11" s="4">
        <v>0.13161300000000001</v>
      </c>
      <c r="N11" s="10" t="e">
        <f t="shared" si="1"/>
        <v>#VALUE!</v>
      </c>
      <c r="O11" s="1"/>
      <c r="P11" s="3">
        <v>348433</v>
      </c>
      <c r="Q11" s="1">
        <v>348.3</v>
      </c>
      <c r="R11" s="4">
        <v>9.9495299999999995E-2</v>
      </c>
      <c r="S11" s="10" t="e">
        <f t="shared" si="2"/>
        <v>#VALUE!</v>
      </c>
    </row>
    <row r="12" spans="1:19" x14ac:dyDescent="0.45">
      <c r="A12" s="3">
        <v>399607</v>
      </c>
      <c r="B12" s="1">
        <v>294.5</v>
      </c>
      <c r="C12" s="4">
        <v>0.22864899999999999</v>
      </c>
      <c r="D12" s="10" t="e">
        <f t="shared" si="3"/>
        <v>#VALUE!</v>
      </c>
      <c r="E12" s="1"/>
      <c r="F12" s="3">
        <v>399797</v>
      </c>
      <c r="G12" s="1">
        <v>303.10000000000002</v>
      </c>
      <c r="H12" s="4">
        <v>0.20324300000000001</v>
      </c>
      <c r="I12" s="10" t="e">
        <f t="shared" si="0"/>
        <v>#VALUE!</v>
      </c>
      <c r="J12" s="1"/>
      <c r="K12" s="3">
        <v>399731</v>
      </c>
      <c r="L12" s="1">
        <v>329.9</v>
      </c>
      <c r="M12" s="4">
        <v>0.141647</v>
      </c>
      <c r="N12" s="10" t="e">
        <f t="shared" si="1"/>
        <v>#VALUE!</v>
      </c>
      <c r="O12" s="1"/>
      <c r="P12" s="3">
        <v>401033</v>
      </c>
      <c r="Q12" s="1">
        <v>348.3</v>
      </c>
      <c r="R12" s="4">
        <v>0.108332</v>
      </c>
      <c r="S12" s="10" t="e">
        <f t="shared" si="2"/>
        <v>#VALUE!</v>
      </c>
    </row>
    <row r="13" spans="1:19" x14ac:dyDescent="0.45">
      <c r="A13" s="3">
        <v>449032</v>
      </c>
      <c r="B13" s="1">
        <v>294.5</v>
      </c>
      <c r="C13" s="4">
        <v>0.23940400000000001</v>
      </c>
      <c r="D13" s="10" t="e">
        <f t="shared" si="3"/>
        <v>#VALUE!</v>
      </c>
      <c r="E13" s="1"/>
      <c r="F13" s="3">
        <v>449238</v>
      </c>
      <c r="G13" s="1">
        <v>303.10000000000002</v>
      </c>
      <c r="H13" s="4">
        <v>0.211842</v>
      </c>
      <c r="I13" s="10" t="e">
        <f t="shared" si="0"/>
        <v>#VALUE!</v>
      </c>
      <c r="J13" s="1"/>
      <c r="K13" s="3">
        <v>448642</v>
      </c>
      <c r="L13" s="1">
        <v>329.9</v>
      </c>
      <c r="M13" s="4">
        <v>0.150725</v>
      </c>
      <c r="N13" s="10" t="e">
        <f t="shared" si="1"/>
        <v>#VALUE!</v>
      </c>
      <c r="O13" s="1"/>
      <c r="P13" s="3">
        <v>450477</v>
      </c>
      <c r="Q13" s="1">
        <v>348.3</v>
      </c>
      <c r="R13" s="4">
        <v>0.116691</v>
      </c>
      <c r="S13" s="10" t="e">
        <f t="shared" si="2"/>
        <v>#VALUE!</v>
      </c>
    </row>
    <row r="14" spans="1:19" x14ac:dyDescent="0.45">
      <c r="A14" s="3">
        <v>497408</v>
      </c>
      <c r="B14" s="1">
        <v>294.5</v>
      </c>
      <c r="C14" s="4">
        <v>0.24968099999999999</v>
      </c>
      <c r="D14" s="10" t="e">
        <f t="shared" si="3"/>
        <v>#VALUE!</v>
      </c>
      <c r="E14" s="1"/>
      <c r="F14" s="3">
        <v>498145</v>
      </c>
      <c r="G14" s="1">
        <v>303.10000000000002</v>
      </c>
      <c r="H14" s="4">
        <v>0.221639</v>
      </c>
      <c r="I14" s="10" t="e">
        <f t="shared" si="0"/>
        <v>#VALUE!</v>
      </c>
      <c r="J14" s="1"/>
      <c r="K14" s="3">
        <v>498616</v>
      </c>
      <c r="L14" s="1">
        <v>329.9</v>
      </c>
      <c r="M14" s="4">
        <v>0.158605</v>
      </c>
      <c r="N14" s="10" t="e">
        <f t="shared" si="1"/>
        <v>#VALUE!</v>
      </c>
      <c r="O14" s="1"/>
      <c r="P14" s="3">
        <v>497821</v>
      </c>
      <c r="Q14" s="1">
        <v>348.3</v>
      </c>
      <c r="R14" s="4">
        <v>0.12409199999999999</v>
      </c>
      <c r="S14" s="10" t="e">
        <f t="shared" si="2"/>
        <v>#VALUE!</v>
      </c>
    </row>
    <row r="15" spans="1:19" x14ac:dyDescent="0.45">
      <c r="A15" s="3">
        <v>548421</v>
      </c>
      <c r="B15" s="1">
        <v>294.5</v>
      </c>
      <c r="C15" s="4">
        <v>0.25947700000000001</v>
      </c>
      <c r="D15" s="10" t="e">
        <f t="shared" si="3"/>
        <v>#VALUE!</v>
      </c>
      <c r="E15" s="1"/>
      <c r="F15" s="3">
        <v>548628</v>
      </c>
      <c r="G15" s="1">
        <v>303.10000000000002</v>
      </c>
      <c r="H15" s="4">
        <v>0.23191500000000001</v>
      </c>
      <c r="I15" s="10" t="e">
        <f t="shared" si="0"/>
        <v>#VALUE!</v>
      </c>
      <c r="J15" s="1"/>
      <c r="K15" s="3">
        <v>549644</v>
      </c>
      <c r="L15" s="1">
        <v>329.9</v>
      </c>
      <c r="M15" s="4">
        <v>0.16648299999999999</v>
      </c>
      <c r="N15" s="10" t="e">
        <f t="shared" si="1"/>
        <v>#VALUE!</v>
      </c>
      <c r="O15" s="1"/>
      <c r="P15" s="3">
        <v>548848</v>
      </c>
      <c r="Q15" s="1">
        <v>348.3</v>
      </c>
      <c r="R15" s="4">
        <v>0.131971</v>
      </c>
      <c r="S15" s="10" t="e">
        <f t="shared" si="2"/>
        <v>#VALUE!</v>
      </c>
    </row>
    <row r="16" spans="1:19" x14ac:dyDescent="0.45">
      <c r="A16" s="3">
        <v>597349</v>
      </c>
      <c r="B16" s="1">
        <v>294.5</v>
      </c>
      <c r="C16" s="4">
        <v>0.26639800000000002</v>
      </c>
      <c r="D16" s="10" t="e">
        <f t="shared" si="3"/>
        <v>#VALUE!</v>
      </c>
      <c r="E16" s="1"/>
      <c r="F16" s="3">
        <v>597557</v>
      </c>
      <c r="G16" s="1">
        <v>303.10000000000002</v>
      </c>
      <c r="H16" s="4">
        <v>0.238596</v>
      </c>
      <c r="I16" s="10" t="e">
        <f t="shared" si="0"/>
        <v>#VALUE!</v>
      </c>
      <c r="J16" s="1"/>
      <c r="K16" s="3">
        <v>599614</v>
      </c>
      <c r="L16" s="1">
        <v>329.9</v>
      </c>
      <c r="M16" s="4">
        <v>0.174842</v>
      </c>
      <c r="N16" s="10" t="e">
        <f t="shared" si="1"/>
        <v>#VALUE!</v>
      </c>
      <c r="O16" s="1"/>
      <c r="P16" s="3">
        <v>599879</v>
      </c>
      <c r="Q16" s="1">
        <v>348.3</v>
      </c>
      <c r="R16" s="4">
        <v>0.13936999999999999</v>
      </c>
      <c r="S16" s="10" t="e">
        <f t="shared" si="2"/>
        <v>#VALUE!</v>
      </c>
    </row>
    <row r="17" spans="1:19" x14ac:dyDescent="0.45">
      <c r="A17" s="3">
        <v>650994</v>
      </c>
      <c r="B17" s="1">
        <v>294.5</v>
      </c>
      <c r="C17" s="4">
        <v>0.27643299999999998</v>
      </c>
      <c r="D17" s="10" t="e">
        <f t="shared" si="3"/>
        <v>#VALUE!</v>
      </c>
      <c r="E17" s="1"/>
      <c r="F17" s="3">
        <v>650118</v>
      </c>
      <c r="G17" s="1">
        <v>303.10000000000002</v>
      </c>
      <c r="H17" s="4">
        <v>0.25270500000000001</v>
      </c>
      <c r="I17" s="10" t="e">
        <f t="shared" si="0"/>
        <v>#VALUE!</v>
      </c>
      <c r="J17" s="1"/>
      <c r="K17" s="3">
        <v>651170</v>
      </c>
      <c r="L17" s="1">
        <v>329.9</v>
      </c>
      <c r="M17" s="4">
        <v>0.182481</v>
      </c>
      <c r="N17" s="10" t="e">
        <f t="shared" si="1"/>
        <v>#VALUE!</v>
      </c>
      <c r="O17" s="1"/>
      <c r="P17" s="3">
        <v>651444</v>
      </c>
      <c r="Q17" s="1">
        <v>348.3</v>
      </c>
      <c r="R17" s="4">
        <v>0.14581</v>
      </c>
      <c r="S17" s="10" t="e">
        <f t="shared" si="2"/>
        <v>#VALUE!</v>
      </c>
    </row>
    <row r="18" spans="1:19" ht="14.65" thickBot="1" x14ac:dyDescent="0.5">
      <c r="A18" s="5">
        <v>699930</v>
      </c>
      <c r="B18" s="2">
        <v>294.5</v>
      </c>
      <c r="C18" s="6">
        <v>0.28215499999999999</v>
      </c>
      <c r="D18" s="11" t="e">
        <f t="shared" si="3"/>
        <v>#VALUE!</v>
      </c>
      <c r="E18" s="2"/>
      <c r="F18" s="5">
        <v>700647</v>
      </c>
      <c r="G18" s="2">
        <v>303.10000000000002</v>
      </c>
      <c r="H18" s="6">
        <v>0.25674999999999998</v>
      </c>
      <c r="I18" s="11" t="e">
        <f t="shared" si="0"/>
        <v>#VALUE!</v>
      </c>
      <c r="J18" s="2"/>
      <c r="K18" s="5">
        <v>699574</v>
      </c>
      <c r="L18" s="2">
        <v>329.9</v>
      </c>
      <c r="M18" s="6">
        <v>0.18892300000000001</v>
      </c>
      <c r="N18" s="11" t="e">
        <f t="shared" si="1"/>
        <v>#VALUE!</v>
      </c>
      <c r="O18" s="2"/>
      <c r="P18" s="5">
        <v>701434</v>
      </c>
      <c r="Q18" s="2">
        <v>348.3</v>
      </c>
      <c r="R18" s="6">
        <v>0.151533</v>
      </c>
      <c r="S18" s="11" t="e">
        <f t="shared" si="2"/>
        <v>#VALUE!</v>
      </c>
    </row>
    <row r="19" spans="1:19" ht="14.65" thickBot="1" x14ac:dyDescent="0.5"/>
    <row r="20" spans="1:19" ht="14.65" thickBot="1" x14ac:dyDescent="0.5">
      <c r="A20" s="171" t="s">
        <v>27</v>
      </c>
      <c r="B20" s="172"/>
      <c r="C20" s="172"/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3"/>
    </row>
    <row r="21" spans="1:19" x14ac:dyDescent="0.45">
      <c r="A21" s="179" t="s">
        <v>10</v>
      </c>
      <c r="B21" s="180"/>
      <c r="C21" s="180"/>
      <c r="D21" s="181"/>
      <c r="E21" s="160" t="s">
        <v>11</v>
      </c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82"/>
    </row>
    <row r="22" spans="1:19" x14ac:dyDescent="0.45">
      <c r="A22" s="179" t="s">
        <v>12</v>
      </c>
      <c r="B22" s="180"/>
      <c r="C22" s="180"/>
      <c r="D22" s="181"/>
      <c r="E22" s="160" t="s">
        <v>13</v>
      </c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82"/>
    </row>
    <row r="23" spans="1:19" x14ac:dyDescent="0.45">
      <c r="A23" s="179" t="s">
        <v>14</v>
      </c>
      <c r="B23" s="180"/>
      <c r="C23" s="180"/>
      <c r="D23" s="181"/>
      <c r="E23" s="160" t="s">
        <v>15</v>
      </c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82"/>
    </row>
    <row r="24" spans="1:19" x14ac:dyDescent="0.45">
      <c r="A24" s="179" t="s">
        <v>16</v>
      </c>
      <c r="B24" s="180"/>
      <c r="C24" s="180"/>
      <c r="D24" s="181"/>
      <c r="E24" s="160" t="s">
        <v>17</v>
      </c>
      <c r="F24" s="160"/>
      <c r="G24" s="160"/>
      <c r="H24" s="160"/>
      <c r="I24" s="180" t="s">
        <v>24</v>
      </c>
      <c r="J24" s="180"/>
      <c r="K24" s="180"/>
      <c r="L24" s="180"/>
      <c r="M24" s="180"/>
      <c r="N24" s="160">
        <v>1</v>
      </c>
      <c r="O24" s="160"/>
      <c r="P24" s="160"/>
      <c r="Q24" s="160"/>
      <c r="R24" s="160"/>
      <c r="S24" s="182"/>
    </row>
    <row r="25" spans="1:19" x14ac:dyDescent="0.45">
      <c r="A25" s="179" t="s">
        <v>18</v>
      </c>
      <c r="B25" s="180"/>
      <c r="C25" s="180"/>
      <c r="D25" s="181"/>
      <c r="E25" s="160" t="s">
        <v>19</v>
      </c>
      <c r="F25" s="160"/>
      <c r="G25" s="160"/>
      <c r="H25" s="160"/>
      <c r="I25" s="188" t="s">
        <v>25</v>
      </c>
      <c r="J25" s="188"/>
      <c r="K25" s="188"/>
      <c r="L25" s="188"/>
      <c r="M25" s="188"/>
      <c r="N25" s="160">
        <v>1</v>
      </c>
      <c r="O25" s="160"/>
      <c r="P25" s="160"/>
      <c r="Q25" s="160"/>
      <c r="R25" s="160"/>
      <c r="S25" s="182"/>
    </row>
    <row r="26" spans="1:19" ht="14.65" thickBot="1" x14ac:dyDescent="0.5">
      <c r="A26" s="183" t="s">
        <v>20</v>
      </c>
      <c r="B26" s="184"/>
      <c r="C26" s="184"/>
      <c r="D26" s="185"/>
      <c r="E26" s="186" t="s">
        <v>21</v>
      </c>
      <c r="F26" s="186"/>
      <c r="G26" s="186"/>
      <c r="H26" s="186"/>
      <c r="I26" s="184" t="s">
        <v>26</v>
      </c>
      <c r="J26" s="184"/>
      <c r="K26" s="184"/>
      <c r="L26" s="184"/>
      <c r="M26" s="184"/>
      <c r="N26" s="186">
        <v>1</v>
      </c>
      <c r="O26" s="186"/>
      <c r="P26" s="186"/>
      <c r="Q26" s="186"/>
      <c r="R26" s="186"/>
      <c r="S26" s="187"/>
    </row>
  </sheetData>
  <mergeCells count="24">
    <mergeCell ref="A24:D24"/>
    <mergeCell ref="N26:S26"/>
    <mergeCell ref="N25:S25"/>
    <mergeCell ref="N24:S24"/>
    <mergeCell ref="I26:M26"/>
    <mergeCell ref="I25:M25"/>
    <mergeCell ref="I24:M24"/>
    <mergeCell ref="E24:H24"/>
    <mergeCell ref="E25:H25"/>
    <mergeCell ref="E26:H26"/>
    <mergeCell ref="A25:D25"/>
    <mergeCell ref="A26:D26"/>
    <mergeCell ref="A2:C2"/>
    <mergeCell ref="A1:S1"/>
    <mergeCell ref="E23:S23"/>
    <mergeCell ref="E22:S22"/>
    <mergeCell ref="E21:S21"/>
    <mergeCell ref="A20:S20"/>
    <mergeCell ref="F2:H2"/>
    <mergeCell ref="K2:M2"/>
    <mergeCell ref="P2:R2"/>
    <mergeCell ref="A21:D21"/>
    <mergeCell ref="A22:D22"/>
    <mergeCell ref="A23:D23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4" tint="0.79998168889431442"/>
  </sheetPr>
  <dimension ref="A1:S26"/>
  <sheetViews>
    <sheetView zoomScaleNormal="100" workbookViewId="0">
      <selection activeCell="S35" sqref="S35"/>
    </sheetView>
  </sheetViews>
  <sheetFormatPr baseColWidth="10" defaultRowHeight="14.25" x14ac:dyDescent="0.45"/>
  <cols>
    <col min="1" max="1" width="8" bestFit="1" customWidth="1"/>
    <col min="2" max="2" width="6" bestFit="1" customWidth="1"/>
    <col min="3" max="3" width="8" bestFit="1" customWidth="1"/>
    <col min="4" max="4" width="14.59765625" bestFit="1" customWidth="1"/>
    <col min="5" max="5" width="2.86328125" customWidth="1"/>
    <col min="6" max="6" width="7" bestFit="1" customWidth="1"/>
    <col min="7" max="7" width="6" bestFit="1" customWidth="1"/>
    <col min="8" max="8" width="8" bestFit="1" customWidth="1"/>
    <col min="9" max="9" width="14.59765625" bestFit="1" customWidth="1"/>
    <col min="10" max="10" width="2.86328125" customWidth="1"/>
    <col min="11" max="11" width="7" bestFit="1" customWidth="1"/>
    <col min="12" max="12" width="6" bestFit="1" customWidth="1"/>
    <col min="13" max="13" width="8" bestFit="1" customWidth="1"/>
    <col min="14" max="14" width="14.59765625" bestFit="1" customWidth="1"/>
    <col min="15" max="15" width="2.86328125" customWidth="1"/>
    <col min="16" max="16" width="8" bestFit="1" customWidth="1"/>
    <col min="17" max="17" width="6" bestFit="1" customWidth="1"/>
    <col min="18" max="18" width="8" bestFit="1" customWidth="1"/>
    <col min="19" max="19" width="14.59765625" bestFit="1" customWidth="1"/>
    <col min="20" max="20" width="2.86328125" customWidth="1"/>
  </cols>
  <sheetData>
    <row r="1" spans="1:19" ht="41.65" customHeight="1" thickBot="1" x14ac:dyDescent="0.5">
      <c r="A1" s="174" t="s">
        <v>120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6"/>
    </row>
    <row r="2" spans="1:19" x14ac:dyDescent="0.45">
      <c r="A2" s="177" t="s">
        <v>0</v>
      </c>
      <c r="B2" s="178"/>
      <c r="C2" s="178"/>
      <c r="D2" s="7" t="s">
        <v>23</v>
      </c>
      <c r="E2" s="1"/>
      <c r="F2" s="177" t="s">
        <v>1</v>
      </c>
      <c r="G2" s="178"/>
      <c r="H2" s="178"/>
      <c r="I2" s="7" t="s">
        <v>22</v>
      </c>
      <c r="J2" s="1"/>
      <c r="K2" s="177" t="s">
        <v>2</v>
      </c>
      <c r="L2" s="178"/>
      <c r="M2" s="178"/>
      <c r="N2" s="7" t="s">
        <v>47</v>
      </c>
      <c r="O2" s="1"/>
      <c r="P2" s="177" t="s">
        <v>3</v>
      </c>
      <c r="Q2" s="178"/>
      <c r="R2" s="178"/>
      <c r="S2" s="7" t="s">
        <v>28</v>
      </c>
    </row>
    <row r="3" spans="1:19" x14ac:dyDescent="0.4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4.65" thickBot="1" x14ac:dyDescent="0.5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45">
      <c r="A5" s="3">
        <v>44955.8</v>
      </c>
      <c r="B5" s="1">
        <v>294.5</v>
      </c>
      <c r="C5" s="4">
        <v>1.1921599999999999E-2</v>
      </c>
      <c r="D5" s="10" t="e">
        <f>ws_direct_ads_w_pT(A5,B5,$E$21,$E$22,$E$23,$E$24,$N$24,$E$25,$N$25,$E$26,$N$26)</f>
        <v>#VALUE!</v>
      </c>
      <c r="E5" s="1"/>
      <c r="F5" s="3">
        <v>50093.8</v>
      </c>
      <c r="G5" s="1">
        <v>303.10000000000002</v>
      </c>
      <c r="H5" s="4">
        <v>9.6209199999999998E-3</v>
      </c>
      <c r="I5" s="10" t="e">
        <f t="shared" ref="I5:I18" si="0">ws_direct_ads_w_pT(F5,G5,$E$21,$E$22,$E$23,$E$24,$N$24,$E$25,$N$25,$E$26,$N$26)</f>
        <v>#VALUE!</v>
      </c>
      <c r="J5" s="1"/>
      <c r="K5" s="3">
        <v>45162</v>
      </c>
      <c r="L5" s="1">
        <v>329.9</v>
      </c>
      <c r="M5" s="4">
        <v>6.6928100000000004E-3</v>
      </c>
      <c r="N5" s="10" t="e">
        <f t="shared" ref="N5:N18" si="1">ws_direct_ads_w_pT(K5,L5,$E$21,$E$22,$E$23,$E$24,$N$24,$E$25,$N$25,$E$26,$N$26)</f>
        <v>#VALUE!</v>
      </c>
      <c r="O5" s="1"/>
      <c r="P5" s="3">
        <v>47817.599999999999</v>
      </c>
      <c r="Q5" s="1">
        <v>348.3</v>
      </c>
      <c r="R5" s="4">
        <v>3.3464100000000002E-3</v>
      </c>
      <c r="S5" s="10" t="e">
        <f t="shared" ref="S5:S18" si="2">ws_direct_ads_w_pT(P5,Q5,$E$21,$E$22,$E$23,$E$24,$N$24,$E$25,$N$25,$E$26,$N$26)</f>
        <v>#VALUE!</v>
      </c>
    </row>
    <row r="6" spans="1:19" x14ac:dyDescent="0.45">
      <c r="A6" s="3">
        <v>97655.7</v>
      </c>
      <c r="B6" s="1">
        <v>294.5</v>
      </c>
      <c r="C6" s="4">
        <v>1.9451E-2</v>
      </c>
      <c r="D6" s="10" t="e">
        <f>ws_direct_ads_w_pT(A6,B6,$E$21,$E$22,$E$23,$E$24,$N$24,$E$25,$N$25,$E$26,$N$26)</f>
        <v>#VALUE!</v>
      </c>
      <c r="E6" s="1"/>
      <c r="F6" s="3">
        <v>97771.199999999997</v>
      </c>
      <c r="G6" s="1">
        <v>303.10000000000002</v>
      </c>
      <c r="H6" s="4">
        <v>1.65229E-2</v>
      </c>
      <c r="I6" s="10" t="e">
        <f t="shared" si="0"/>
        <v>#VALUE!</v>
      </c>
      <c r="J6" s="1"/>
      <c r="K6" s="3">
        <v>100501</v>
      </c>
      <c r="L6" s="1">
        <v>329.9</v>
      </c>
      <c r="M6" s="4">
        <v>1.12941E-2</v>
      </c>
      <c r="N6" s="10" t="e">
        <f t="shared" si="1"/>
        <v>#VALUE!</v>
      </c>
      <c r="O6" s="1"/>
      <c r="P6" s="3">
        <v>100666</v>
      </c>
      <c r="Q6" s="1">
        <v>348.3</v>
      </c>
      <c r="R6" s="4">
        <v>7.1111100000000003E-3</v>
      </c>
      <c r="S6" s="10" t="e">
        <f t="shared" si="2"/>
        <v>#VALUE!</v>
      </c>
    </row>
    <row r="7" spans="1:19" x14ac:dyDescent="0.45">
      <c r="A7" s="3">
        <v>150405</v>
      </c>
      <c r="B7" s="1">
        <v>294.5</v>
      </c>
      <c r="C7" s="4">
        <v>2.5725499999999998E-2</v>
      </c>
      <c r="D7" s="10" t="e">
        <f t="shared" ref="D7:D18" si="3">ws_direct_ads_w_pT(A7,B7,$E$21,$E$22,$E$23,$E$24,$N$24,$E$25,$N$25,$E$26,$N$26)</f>
        <v>#VALUE!</v>
      </c>
      <c r="E7" s="1"/>
      <c r="F7" s="3">
        <v>150554</v>
      </c>
      <c r="G7" s="1">
        <v>303.10000000000002</v>
      </c>
      <c r="H7" s="4">
        <v>2.1960799999999999E-2</v>
      </c>
      <c r="I7" s="10" t="e">
        <f t="shared" si="0"/>
        <v>#VALUE!</v>
      </c>
      <c r="J7" s="1"/>
      <c r="K7" s="3">
        <v>150850</v>
      </c>
      <c r="L7" s="1">
        <v>329.9</v>
      </c>
      <c r="M7" s="4">
        <v>1.44314E-2</v>
      </c>
      <c r="N7" s="10" t="e">
        <f t="shared" si="1"/>
        <v>#VALUE!</v>
      </c>
      <c r="O7" s="1"/>
      <c r="P7" s="3">
        <v>151024</v>
      </c>
      <c r="Q7" s="1">
        <v>348.3</v>
      </c>
      <c r="R7" s="4">
        <v>1.00392E-2</v>
      </c>
      <c r="S7" s="10" t="e">
        <f t="shared" si="2"/>
        <v>#VALUE!</v>
      </c>
    </row>
    <row r="8" spans="1:19" x14ac:dyDescent="0.45">
      <c r="A8" s="3">
        <v>195650</v>
      </c>
      <c r="B8" s="1">
        <v>294.5</v>
      </c>
      <c r="C8" s="4">
        <v>3.0326800000000001E-2</v>
      </c>
      <c r="D8" s="10" t="e">
        <f t="shared" si="3"/>
        <v>#VALUE!</v>
      </c>
      <c r="E8" s="1"/>
      <c r="F8" s="3">
        <v>193274</v>
      </c>
      <c r="G8" s="1">
        <v>303.10000000000002</v>
      </c>
      <c r="H8" s="4">
        <v>2.6562100000000002E-2</v>
      </c>
      <c r="I8" s="10" t="e">
        <f t="shared" si="0"/>
        <v>#VALUE!</v>
      </c>
      <c r="J8" s="1"/>
      <c r="K8" s="3">
        <v>193621</v>
      </c>
      <c r="L8" s="1">
        <v>329.9</v>
      </c>
      <c r="M8" s="4">
        <v>1.77778E-2</v>
      </c>
      <c r="N8" s="10" t="e">
        <f t="shared" si="1"/>
        <v>#VALUE!</v>
      </c>
      <c r="O8" s="1"/>
      <c r="P8" s="3">
        <v>193810</v>
      </c>
      <c r="Q8" s="1">
        <v>348.3</v>
      </c>
      <c r="R8" s="4">
        <v>1.2967299999999999E-2</v>
      </c>
      <c r="S8" s="10" t="e">
        <f t="shared" si="2"/>
        <v>#VALUE!</v>
      </c>
    </row>
    <row r="9" spans="1:19" x14ac:dyDescent="0.45">
      <c r="A9" s="3">
        <v>248481</v>
      </c>
      <c r="B9" s="1">
        <v>294.5</v>
      </c>
      <c r="C9" s="4">
        <v>3.45098E-2</v>
      </c>
      <c r="D9" s="10" t="e">
        <f t="shared" si="3"/>
        <v>#VALUE!</v>
      </c>
      <c r="E9" s="1"/>
      <c r="F9" s="3">
        <v>251145</v>
      </c>
      <c r="G9" s="1">
        <v>303.10000000000002</v>
      </c>
      <c r="H9" s="4">
        <v>3.0954200000000001E-2</v>
      </c>
      <c r="I9" s="10" t="e">
        <f t="shared" si="0"/>
        <v>#VALUE!</v>
      </c>
      <c r="J9" s="1"/>
      <c r="K9" s="3">
        <v>249018</v>
      </c>
      <c r="L9" s="1">
        <v>329.9</v>
      </c>
      <c r="M9" s="4">
        <v>2.0915E-2</v>
      </c>
      <c r="N9" s="10" t="e">
        <f t="shared" si="1"/>
        <v>#VALUE!</v>
      </c>
      <c r="O9" s="1"/>
      <c r="P9" s="3">
        <v>249248</v>
      </c>
      <c r="Q9" s="1">
        <v>348.3</v>
      </c>
      <c r="R9" s="4">
        <v>1.5058800000000001E-2</v>
      </c>
      <c r="S9" s="10" t="e">
        <f t="shared" si="2"/>
        <v>#VALUE!</v>
      </c>
    </row>
    <row r="10" spans="1:19" x14ac:dyDescent="0.45">
      <c r="A10" s="3">
        <v>293775</v>
      </c>
      <c r="B10" s="1">
        <v>294.5</v>
      </c>
      <c r="C10" s="4">
        <v>3.78562E-2</v>
      </c>
      <c r="D10" s="10" t="e">
        <f t="shared" si="3"/>
        <v>#VALUE!</v>
      </c>
      <c r="E10" s="1"/>
      <c r="F10" s="3">
        <v>293940</v>
      </c>
      <c r="G10" s="1">
        <v>303.10000000000002</v>
      </c>
      <c r="H10" s="4">
        <v>3.36732E-2</v>
      </c>
      <c r="I10" s="10" t="e">
        <f t="shared" si="0"/>
        <v>#VALUE!</v>
      </c>
      <c r="J10" s="1"/>
      <c r="K10" s="3">
        <v>291829</v>
      </c>
      <c r="L10" s="1">
        <v>329.9</v>
      </c>
      <c r="M10" s="4">
        <v>2.3215699999999999E-2</v>
      </c>
      <c r="N10" s="10" t="e">
        <f t="shared" si="1"/>
        <v>#VALUE!</v>
      </c>
      <c r="O10" s="1"/>
      <c r="P10" s="3">
        <v>292052</v>
      </c>
      <c r="Q10" s="1">
        <v>348.3</v>
      </c>
      <c r="R10" s="4">
        <v>1.75686E-2</v>
      </c>
      <c r="S10" s="10" t="e">
        <f t="shared" si="2"/>
        <v>#VALUE!</v>
      </c>
    </row>
    <row r="11" spans="1:19" x14ac:dyDescent="0.45">
      <c r="A11" s="3">
        <v>344125</v>
      </c>
      <c r="B11" s="1">
        <v>294.5</v>
      </c>
      <c r="C11" s="4">
        <v>4.0993500000000002E-2</v>
      </c>
      <c r="D11" s="10" t="e">
        <f t="shared" si="3"/>
        <v>#VALUE!</v>
      </c>
      <c r="E11" s="1"/>
      <c r="F11" s="3">
        <v>344298</v>
      </c>
      <c r="G11" s="1">
        <v>303.10000000000002</v>
      </c>
      <c r="H11" s="4">
        <v>3.6601300000000003E-2</v>
      </c>
      <c r="I11" s="10" t="e">
        <f t="shared" si="0"/>
        <v>#VALUE!</v>
      </c>
      <c r="J11" s="1"/>
      <c r="K11" s="3">
        <v>344727</v>
      </c>
      <c r="L11" s="1">
        <v>329.9</v>
      </c>
      <c r="M11" s="4">
        <v>2.5725499999999998E-2</v>
      </c>
      <c r="N11" s="10" t="e">
        <f t="shared" si="1"/>
        <v>#VALUE!</v>
      </c>
      <c r="O11" s="1"/>
      <c r="P11" s="3">
        <v>344983</v>
      </c>
      <c r="Q11" s="1">
        <v>348.3</v>
      </c>
      <c r="R11" s="4">
        <v>1.92418E-2</v>
      </c>
      <c r="S11" s="10" t="e">
        <f t="shared" si="2"/>
        <v>#VALUE!</v>
      </c>
    </row>
    <row r="12" spans="1:19" x14ac:dyDescent="0.45">
      <c r="A12" s="3">
        <v>391959</v>
      </c>
      <c r="B12" s="1">
        <v>294.5</v>
      </c>
      <c r="C12" s="4">
        <v>4.3921599999999998E-2</v>
      </c>
      <c r="D12" s="10" t="e">
        <f t="shared" si="3"/>
        <v>#VALUE!</v>
      </c>
      <c r="E12" s="1"/>
      <c r="F12" s="3">
        <v>392124</v>
      </c>
      <c r="G12" s="1">
        <v>303.10000000000002</v>
      </c>
      <c r="H12" s="4">
        <v>3.9738599999999999E-2</v>
      </c>
      <c r="I12" s="10" t="e">
        <f t="shared" si="0"/>
        <v>#VALUE!</v>
      </c>
      <c r="J12" s="1"/>
      <c r="K12" s="3">
        <v>392586</v>
      </c>
      <c r="L12" s="1">
        <v>329.9</v>
      </c>
      <c r="M12" s="4">
        <v>2.8026100000000002E-2</v>
      </c>
      <c r="N12" s="10" t="e">
        <f t="shared" si="1"/>
        <v>#VALUE!</v>
      </c>
      <c r="O12" s="1"/>
      <c r="P12" s="3">
        <v>392850</v>
      </c>
      <c r="Q12" s="1">
        <v>348.3</v>
      </c>
      <c r="R12" s="4">
        <v>2.1333299999999999E-2</v>
      </c>
      <c r="S12" s="10" t="e">
        <f t="shared" si="2"/>
        <v>#VALUE!</v>
      </c>
    </row>
    <row r="13" spans="1:19" x14ac:dyDescent="0.45">
      <c r="A13" s="3">
        <v>444849</v>
      </c>
      <c r="B13" s="1">
        <v>294.5</v>
      </c>
      <c r="C13" s="4">
        <v>4.6640500000000001E-2</v>
      </c>
      <c r="D13" s="10" t="e">
        <f t="shared" si="3"/>
        <v>#VALUE!</v>
      </c>
      <c r="E13" s="1"/>
      <c r="F13" s="3">
        <v>445022</v>
      </c>
      <c r="G13" s="1">
        <v>303.10000000000002</v>
      </c>
      <c r="H13" s="4">
        <v>4.2248399999999998E-2</v>
      </c>
      <c r="I13" s="10" t="e">
        <f t="shared" si="0"/>
        <v>#VALUE!</v>
      </c>
      <c r="J13" s="1"/>
      <c r="K13" s="3">
        <v>445492</v>
      </c>
      <c r="L13" s="1">
        <v>329.9</v>
      </c>
      <c r="M13" s="4">
        <v>3.0326800000000001E-2</v>
      </c>
      <c r="N13" s="10" t="e">
        <f t="shared" si="1"/>
        <v>#VALUE!</v>
      </c>
      <c r="O13" s="1"/>
      <c r="P13" s="3">
        <v>445764</v>
      </c>
      <c r="Q13" s="1">
        <v>348.3</v>
      </c>
      <c r="R13" s="4">
        <v>2.3424799999999999E-2</v>
      </c>
      <c r="S13" s="10" t="e">
        <f t="shared" si="2"/>
        <v>#VALUE!</v>
      </c>
    </row>
    <row r="14" spans="1:19" x14ac:dyDescent="0.45">
      <c r="A14" s="3">
        <v>495223</v>
      </c>
      <c r="B14" s="1">
        <v>294.5</v>
      </c>
      <c r="C14" s="4">
        <v>4.9150300000000001E-2</v>
      </c>
      <c r="D14" s="10" t="e">
        <f t="shared" si="3"/>
        <v>#VALUE!</v>
      </c>
      <c r="E14" s="1"/>
      <c r="F14" s="3">
        <v>495412</v>
      </c>
      <c r="G14" s="1">
        <v>303.10000000000002</v>
      </c>
      <c r="H14" s="4">
        <v>4.4339900000000002E-2</v>
      </c>
      <c r="I14" s="10" t="e">
        <f t="shared" si="0"/>
        <v>#VALUE!</v>
      </c>
      <c r="J14" s="1"/>
      <c r="K14" s="3">
        <v>495883</v>
      </c>
      <c r="L14" s="1">
        <v>329.9</v>
      </c>
      <c r="M14" s="4">
        <v>3.2418299999999997E-2</v>
      </c>
      <c r="N14" s="10" t="e">
        <f t="shared" si="1"/>
        <v>#VALUE!</v>
      </c>
      <c r="O14" s="1"/>
      <c r="P14" s="3">
        <v>496171</v>
      </c>
      <c r="Q14" s="1">
        <v>348.3</v>
      </c>
      <c r="R14" s="4">
        <v>2.5097999999999999E-2</v>
      </c>
      <c r="S14" s="10" t="e">
        <f t="shared" si="2"/>
        <v>#VALUE!</v>
      </c>
    </row>
    <row r="15" spans="1:19" x14ac:dyDescent="0.45">
      <c r="A15" s="3">
        <v>548137</v>
      </c>
      <c r="B15" s="1">
        <v>294.5</v>
      </c>
      <c r="C15" s="4">
        <v>5.1241799999999997E-2</v>
      </c>
      <c r="D15" s="10" t="e">
        <f t="shared" si="3"/>
        <v>#VALUE!</v>
      </c>
      <c r="E15" s="1"/>
      <c r="F15" s="3">
        <v>545820</v>
      </c>
      <c r="G15" s="1">
        <v>303.10000000000002</v>
      </c>
      <c r="H15" s="4">
        <v>4.6013100000000001E-2</v>
      </c>
      <c r="I15" s="10" t="e">
        <f t="shared" si="0"/>
        <v>#VALUE!</v>
      </c>
      <c r="J15" s="1"/>
      <c r="K15" s="3">
        <v>546290</v>
      </c>
      <c r="L15" s="1">
        <v>329.9</v>
      </c>
      <c r="M15" s="4">
        <v>3.4091499999999997E-2</v>
      </c>
      <c r="N15" s="10" t="e">
        <f t="shared" si="1"/>
        <v>#VALUE!</v>
      </c>
      <c r="O15" s="1"/>
      <c r="P15" s="3">
        <v>546587</v>
      </c>
      <c r="Q15" s="1">
        <v>348.3</v>
      </c>
      <c r="R15" s="4">
        <v>2.6562100000000002E-2</v>
      </c>
      <c r="S15" s="10" t="e">
        <f t="shared" si="2"/>
        <v>#VALUE!</v>
      </c>
    </row>
    <row r="16" spans="1:19" x14ac:dyDescent="0.45">
      <c r="A16" s="3">
        <v>598520</v>
      </c>
      <c r="B16" s="1">
        <v>294.5</v>
      </c>
      <c r="C16" s="4">
        <v>5.35425E-2</v>
      </c>
      <c r="D16" s="10" t="e">
        <f t="shared" si="3"/>
        <v>#VALUE!</v>
      </c>
      <c r="E16" s="1"/>
      <c r="F16" s="3">
        <v>601266</v>
      </c>
      <c r="G16" s="1">
        <v>303.10000000000002</v>
      </c>
      <c r="H16" s="4">
        <v>4.7895399999999998E-2</v>
      </c>
      <c r="I16" s="10" t="e">
        <f t="shared" si="0"/>
        <v>#VALUE!</v>
      </c>
      <c r="J16" s="1"/>
      <c r="K16" s="3">
        <v>601744</v>
      </c>
      <c r="L16" s="1">
        <v>329.9</v>
      </c>
      <c r="M16" s="4">
        <v>3.5764700000000003E-2</v>
      </c>
      <c r="N16" s="10" t="e">
        <f t="shared" si="1"/>
        <v>#VALUE!</v>
      </c>
      <c r="O16" s="1"/>
      <c r="P16" s="3">
        <v>599518</v>
      </c>
      <c r="Q16" s="1">
        <v>348.3</v>
      </c>
      <c r="R16" s="4">
        <v>2.8235300000000001E-2</v>
      </c>
      <c r="S16" s="10" t="e">
        <f t="shared" si="2"/>
        <v>#VALUE!</v>
      </c>
    </row>
    <row r="17" spans="1:19" x14ac:dyDescent="0.45">
      <c r="A17" s="3">
        <v>648927</v>
      </c>
      <c r="B17" s="1">
        <v>294.5</v>
      </c>
      <c r="C17" s="4">
        <v>5.52157E-2</v>
      </c>
      <c r="D17" s="10" t="e">
        <f t="shared" si="3"/>
        <v>#VALUE!</v>
      </c>
      <c r="E17" s="1"/>
      <c r="F17" s="3">
        <v>649150</v>
      </c>
      <c r="G17" s="1">
        <v>303.10000000000002</v>
      </c>
      <c r="H17" s="4">
        <v>4.9568599999999997E-2</v>
      </c>
      <c r="I17" s="10" t="e">
        <f t="shared" si="0"/>
        <v>#VALUE!</v>
      </c>
      <c r="J17" s="1"/>
      <c r="K17" s="3">
        <v>649653</v>
      </c>
      <c r="L17" s="1">
        <v>329.9</v>
      </c>
      <c r="M17" s="4">
        <v>3.6810500000000003E-2</v>
      </c>
      <c r="N17" s="10" t="e">
        <f t="shared" si="1"/>
        <v>#VALUE!</v>
      </c>
      <c r="O17" s="1"/>
      <c r="P17" s="3">
        <v>649941</v>
      </c>
      <c r="Q17" s="1">
        <v>348.3</v>
      </c>
      <c r="R17" s="4">
        <v>2.9490200000000001E-2</v>
      </c>
      <c r="S17" s="10" t="e">
        <f t="shared" si="2"/>
        <v>#VALUE!</v>
      </c>
    </row>
    <row r="18" spans="1:19" ht="14.65" thickBot="1" x14ac:dyDescent="0.5">
      <c r="A18" s="5">
        <v>699326</v>
      </c>
      <c r="B18" s="2">
        <v>294.5</v>
      </c>
      <c r="C18" s="6">
        <v>5.7098000000000003E-2</v>
      </c>
      <c r="D18" s="11" t="e">
        <f t="shared" si="3"/>
        <v>#VALUE!</v>
      </c>
      <c r="E18" s="2"/>
      <c r="F18" s="5">
        <v>697033</v>
      </c>
      <c r="G18" s="2">
        <v>303.10000000000002</v>
      </c>
      <c r="H18" s="6">
        <v>5.1241799999999997E-2</v>
      </c>
      <c r="I18" s="11" t="e">
        <f t="shared" si="0"/>
        <v>#VALUE!</v>
      </c>
      <c r="J18" s="2"/>
      <c r="K18" s="5">
        <v>700060</v>
      </c>
      <c r="L18" s="2">
        <v>329.9</v>
      </c>
      <c r="M18" s="6">
        <v>3.8483700000000003E-2</v>
      </c>
      <c r="N18" s="11" t="e">
        <f t="shared" si="1"/>
        <v>#VALUE!</v>
      </c>
      <c r="O18" s="2"/>
      <c r="P18" s="5">
        <v>700365</v>
      </c>
      <c r="Q18" s="2">
        <v>348.3</v>
      </c>
      <c r="R18" s="6">
        <v>3.0745100000000001E-2</v>
      </c>
      <c r="S18" s="11" t="e">
        <f t="shared" si="2"/>
        <v>#VALUE!</v>
      </c>
    </row>
    <row r="19" spans="1:19" ht="14.65" thickBot="1" x14ac:dyDescent="0.5"/>
    <row r="20" spans="1:19" ht="14.65" thickBot="1" x14ac:dyDescent="0.5">
      <c r="A20" s="171" t="s">
        <v>27</v>
      </c>
      <c r="B20" s="172"/>
      <c r="C20" s="172"/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3"/>
    </row>
    <row r="21" spans="1:19" x14ac:dyDescent="0.45">
      <c r="A21" s="179" t="s">
        <v>10</v>
      </c>
      <c r="B21" s="180"/>
      <c r="C21" s="180"/>
      <c r="D21" s="181"/>
      <c r="E21" s="160" t="s">
        <v>11</v>
      </c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82"/>
    </row>
    <row r="22" spans="1:19" x14ac:dyDescent="0.45">
      <c r="A22" s="179" t="s">
        <v>12</v>
      </c>
      <c r="B22" s="180"/>
      <c r="C22" s="180"/>
      <c r="D22" s="181"/>
      <c r="E22" s="160" t="s">
        <v>13</v>
      </c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82"/>
    </row>
    <row r="23" spans="1:19" x14ac:dyDescent="0.45">
      <c r="A23" s="179" t="s">
        <v>14</v>
      </c>
      <c r="B23" s="180"/>
      <c r="C23" s="180"/>
      <c r="D23" s="181"/>
      <c r="E23" s="160" t="s">
        <v>121</v>
      </c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82"/>
    </row>
    <row r="24" spans="1:19" x14ac:dyDescent="0.45">
      <c r="A24" s="179" t="s">
        <v>16</v>
      </c>
      <c r="B24" s="180"/>
      <c r="C24" s="180"/>
      <c r="D24" s="181"/>
      <c r="E24" s="160" t="s">
        <v>17</v>
      </c>
      <c r="F24" s="160"/>
      <c r="G24" s="160"/>
      <c r="H24" s="160"/>
      <c r="I24" s="180" t="s">
        <v>24</v>
      </c>
      <c r="J24" s="180"/>
      <c r="K24" s="180"/>
      <c r="L24" s="180"/>
      <c r="M24" s="180"/>
      <c r="N24" s="160">
        <v>1</v>
      </c>
      <c r="O24" s="160"/>
      <c r="P24" s="160"/>
      <c r="Q24" s="160"/>
      <c r="R24" s="160"/>
      <c r="S24" s="182"/>
    </row>
    <row r="25" spans="1:19" x14ac:dyDescent="0.45">
      <c r="A25" s="179" t="s">
        <v>18</v>
      </c>
      <c r="B25" s="180"/>
      <c r="C25" s="180"/>
      <c r="D25" s="181"/>
      <c r="E25" s="160" t="s">
        <v>19</v>
      </c>
      <c r="F25" s="160"/>
      <c r="G25" s="160"/>
      <c r="H25" s="160"/>
      <c r="I25" s="188" t="s">
        <v>25</v>
      </c>
      <c r="J25" s="188"/>
      <c r="K25" s="188"/>
      <c r="L25" s="188"/>
      <c r="M25" s="188"/>
      <c r="N25" s="160">
        <v>1</v>
      </c>
      <c r="O25" s="160"/>
      <c r="P25" s="160"/>
      <c r="Q25" s="160"/>
      <c r="R25" s="160"/>
      <c r="S25" s="182"/>
    </row>
    <row r="26" spans="1:19" ht="14.65" thickBot="1" x14ac:dyDescent="0.5">
      <c r="A26" s="183" t="s">
        <v>20</v>
      </c>
      <c r="B26" s="184"/>
      <c r="C26" s="184"/>
      <c r="D26" s="185"/>
      <c r="E26" s="186" t="s">
        <v>21</v>
      </c>
      <c r="F26" s="186"/>
      <c r="G26" s="186"/>
      <c r="H26" s="186"/>
      <c r="I26" s="184" t="s">
        <v>26</v>
      </c>
      <c r="J26" s="184"/>
      <c r="K26" s="184"/>
      <c r="L26" s="184"/>
      <c r="M26" s="184"/>
      <c r="N26" s="186">
        <v>1</v>
      </c>
      <c r="O26" s="186"/>
      <c r="P26" s="186"/>
      <c r="Q26" s="186"/>
      <c r="R26" s="186"/>
      <c r="S26" s="187"/>
    </row>
  </sheetData>
  <mergeCells count="24">
    <mergeCell ref="A26:D26"/>
    <mergeCell ref="E26:H26"/>
    <mergeCell ref="I26:M26"/>
    <mergeCell ref="N26:S26"/>
    <mergeCell ref="A24:D24"/>
    <mergeCell ref="E24:H24"/>
    <mergeCell ref="I24:M24"/>
    <mergeCell ref="N24:S24"/>
    <mergeCell ref="A25:D25"/>
    <mergeCell ref="E25:H25"/>
    <mergeCell ref="I25:M25"/>
    <mergeCell ref="N25:S25"/>
    <mergeCell ref="A21:D21"/>
    <mergeCell ref="E21:S21"/>
    <mergeCell ref="A22:D22"/>
    <mergeCell ref="E22:S22"/>
    <mergeCell ref="A23:D23"/>
    <mergeCell ref="E23:S23"/>
    <mergeCell ref="A20:S20"/>
    <mergeCell ref="A1:S1"/>
    <mergeCell ref="A2:C2"/>
    <mergeCell ref="F2:H2"/>
    <mergeCell ref="K2:M2"/>
    <mergeCell ref="P2:R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6">
    <tabColor theme="4" tint="0.79998168889431442"/>
  </sheetPr>
  <dimension ref="A1:AW42"/>
  <sheetViews>
    <sheetView topLeftCell="AI1" zoomScaleNormal="100" workbookViewId="0">
      <selection activeCell="AW21" sqref="AW21"/>
    </sheetView>
  </sheetViews>
  <sheetFormatPr baseColWidth="10" defaultRowHeight="14.25" x14ac:dyDescent="0.45"/>
  <cols>
    <col min="1" max="1" width="8" bestFit="1" customWidth="1"/>
    <col min="2" max="2" width="7" bestFit="1" customWidth="1"/>
    <col min="3" max="3" width="8" bestFit="1" customWidth="1"/>
    <col min="4" max="4" width="15.59765625" bestFit="1" customWidth="1"/>
    <col min="5" max="5" width="2.86328125" customWidth="1"/>
    <col min="6" max="6" width="8" bestFit="1" customWidth="1"/>
    <col min="7" max="7" width="7" bestFit="1" customWidth="1"/>
    <col min="8" max="8" width="8" bestFit="1" customWidth="1"/>
    <col min="9" max="9" width="15.59765625" bestFit="1" customWidth="1"/>
    <col min="10" max="10" width="2.86328125" customWidth="1"/>
    <col min="11" max="13" width="8" bestFit="1" customWidth="1"/>
    <col min="14" max="14" width="16.1328125" bestFit="1" customWidth="1"/>
    <col min="15" max="15" width="2.86328125" customWidth="1"/>
    <col min="16" max="16" width="8" bestFit="1" customWidth="1"/>
    <col min="17" max="17" width="7" bestFit="1" customWidth="1"/>
    <col min="18" max="18" width="8" bestFit="1" customWidth="1"/>
    <col min="19" max="19" width="15.59765625" bestFit="1" customWidth="1"/>
    <col min="20" max="20" width="2.86328125" customWidth="1"/>
    <col min="21" max="21" width="8" bestFit="1" customWidth="1"/>
    <col min="22" max="22" width="7" bestFit="1" customWidth="1"/>
    <col min="23" max="23" width="8" bestFit="1" customWidth="1"/>
    <col min="24" max="24" width="15.59765625" bestFit="1" customWidth="1"/>
    <col min="25" max="25" width="2.86328125" customWidth="1"/>
    <col min="26" max="26" width="8" bestFit="1" customWidth="1"/>
    <col min="27" max="27" width="7" bestFit="1" customWidth="1"/>
    <col min="28" max="28" width="8" bestFit="1" customWidth="1"/>
    <col min="29" max="29" width="15.59765625" bestFit="1" customWidth="1"/>
    <col min="30" max="30" width="2.86328125" customWidth="1"/>
    <col min="31" max="31" width="8" bestFit="1" customWidth="1"/>
    <col min="32" max="32" width="7" bestFit="1" customWidth="1"/>
    <col min="33" max="33" width="8" bestFit="1" customWidth="1"/>
    <col min="34" max="34" width="15.59765625" bestFit="1" customWidth="1"/>
    <col min="35" max="35" width="2.86328125" customWidth="1"/>
    <col min="36" max="36" width="8" bestFit="1" customWidth="1"/>
    <col min="37" max="37" width="7" bestFit="1" customWidth="1"/>
    <col min="38" max="38" width="8" bestFit="1" customWidth="1"/>
    <col min="39" max="39" width="15.59765625" bestFit="1" customWidth="1"/>
    <col min="40" max="40" width="2.86328125" customWidth="1"/>
    <col min="41" max="41" width="8" bestFit="1" customWidth="1"/>
    <col min="42" max="42" width="7" bestFit="1" customWidth="1"/>
    <col min="43" max="43" width="8" bestFit="1" customWidth="1"/>
    <col min="44" max="44" width="15.59765625" bestFit="1" customWidth="1"/>
    <col min="45" max="45" width="2.86328125" customWidth="1"/>
    <col min="46" max="46" width="8" bestFit="1" customWidth="1"/>
    <col min="47" max="47" width="7" bestFit="1" customWidth="1"/>
    <col min="48" max="48" width="8" bestFit="1" customWidth="1"/>
    <col min="49" max="49" width="15.59765625" bestFit="1" customWidth="1"/>
    <col min="50" max="50" width="2.86328125" customWidth="1"/>
  </cols>
  <sheetData>
    <row r="1" spans="1:49" ht="41.65" customHeight="1" thickBot="1" x14ac:dyDescent="0.5">
      <c r="A1" s="174" t="s">
        <v>126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  <c r="AV1" s="175"/>
      <c r="AW1" s="176"/>
    </row>
    <row r="2" spans="1:49" x14ac:dyDescent="0.45">
      <c r="A2" s="194" t="s">
        <v>33</v>
      </c>
      <c r="B2" s="195"/>
      <c r="C2" s="195"/>
      <c r="D2" s="16" t="s">
        <v>34</v>
      </c>
      <c r="E2" s="1"/>
      <c r="F2" s="177" t="s">
        <v>70</v>
      </c>
      <c r="G2" s="178"/>
      <c r="H2" s="178"/>
      <c r="I2" s="7" t="s">
        <v>71</v>
      </c>
      <c r="J2" s="1"/>
      <c r="K2" s="177" t="s">
        <v>72</v>
      </c>
      <c r="L2" s="178"/>
      <c r="M2" s="178"/>
      <c r="N2" s="7" t="s">
        <v>73</v>
      </c>
      <c r="O2" s="1"/>
      <c r="P2" s="177" t="s">
        <v>74</v>
      </c>
      <c r="Q2" s="178"/>
      <c r="R2" s="178"/>
      <c r="S2" s="7" t="s">
        <v>75</v>
      </c>
      <c r="T2" s="1"/>
      <c r="U2" s="194" t="s">
        <v>76</v>
      </c>
      <c r="V2" s="195"/>
      <c r="W2" s="195"/>
      <c r="X2" s="16" t="s">
        <v>77</v>
      </c>
      <c r="Y2" s="1"/>
      <c r="Z2" s="194" t="s">
        <v>78</v>
      </c>
      <c r="AA2" s="195"/>
      <c r="AB2" s="195"/>
      <c r="AC2" s="16" t="s">
        <v>79</v>
      </c>
      <c r="AD2" s="1"/>
      <c r="AE2" s="194" t="s">
        <v>80</v>
      </c>
      <c r="AF2" s="195"/>
      <c r="AG2" s="195"/>
      <c r="AH2" s="16" t="s">
        <v>81</v>
      </c>
      <c r="AI2" s="1"/>
      <c r="AJ2" s="194" t="s">
        <v>82</v>
      </c>
      <c r="AK2" s="195"/>
      <c r="AL2" s="195"/>
      <c r="AM2" s="16" t="s">
        <v>83</v>
      </c>
      <c r="AN2" s="1"/>
      <c r="AO2" s="194" t="s">
        <v>84</v>
      </c>
      <c r="AP2" s="195"/>
      <c r="AQ2" s="195"/>
      <c r="AR2" s="16" t="s">
        <v>85</v>
      </c>
      <c r="AS2" s="1"/>
      <c r="AT2" s="194" t="s">
        <v>86</v>
      </c>
      <c r="AU2" s="195"/>
      <c r="AV2" s="195"/>
      <c r="AW2" s="16" t="s">
        <v>87</v>
      </c>
    </row>
    <row r="3" spans="1:49" x14ac:dyDescent="0.4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4.65" thickBot="1" x14ac:dyDescent="0.5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45">
      <c r="A5">
        <v>5.4209100000000001</v>
      </c>
      <c r="B5" s="17">
        <f>-45+273.15</f>
        <v>228.14999999999998</v>
      </c>
      <c r="C5" s="4">
        <v>5.0694510460000008E-2</v>
      </c>
      <c r="D5" s="10" t="e">
        <f>ws_direct_ads_w_pT(A5,B5,$E$37,$E$38,$E$39,$E$40,$N$40,$E$41,$N$41,$E$42,$N$42)</f>
        <v>#VALUE!</v>
      </c>
      <c r="E5" s="1"/>
      <c r="F5" s="12">
        <v>2.6875900000000001</v>
      </c>
      <c r="G5" s="18">
        <f>-25+273.15</f>
        <v>248.14999999999998</v>
      </c>
      <c r="H5" s="13">
        <v>1.9629874241999998E-2</v>
      </c>
      <c r="I5" s="14" t="e">
        <f t="shared" ref="I5:I15" si="0">ws_direct_ads_w_pT(F5,G5,$E$37,$E$38,$E$39,$E$40,$N$40,$E$41,$N$41,$E$42,$N$42)</f>
        <v>#VALUE!</v>
      </c>
      <c r="J5" s="1"/>
      <c r="K5" s="12">
        <v>5.25075</v>
      </c>
      <c r="L5" s="19">
        <f>0+273.15</f>
        <v>273.14999999999998</v>
      </c>
      <c r="M5" s="13">
        <v>1.0714742016000001E-2</v>
      </c>
      <c r="N5" s="14" t="e">
        <f t="shared" ref="N5:N19" si="1">ws_direct_ads_w_pT(K5,L5,$E$37,$E$38,$E$39,$E$40,$N$40,$E$41,$N$41,$E$42,$N$42)</f>
        <v>#VALUE!</v>
      </c>
      <c r="O5" s="1"/>
      <c r="P5" s="12">
        <v>5.4209100000000001</v>
      </c>
      <c r="Q5" s="19">
        <f>25+273.15</f>
        <v>298.14999999999998</v>
      </c>
      <c r="R5" s="13">
        <v>4.4407979220000005E-3</v>
      </c>
      <c r="S5" s="14" t="e">
        <f>ws_direct_ads_w_pT(P5,Q5,$E$37,$E$38,$E$39,$E$40,$N$40,$E$41,$N$41,$E$42,$N$42)</f>
        <v>#VALUE!</v>
      </c>
      <c r="T5" s="1"/>
      <c r="U5" s="12">
        <v>34.4664</v>
      </c>
      <c r="V5" s="18">
        <f>50+273.15</f>
        <v>323.14999999999998</v>
      </c>
      <c r="W5" s="13">
        <v>6.1482926889999999E-3</v>
      </c>
      <c r="X5" s="14" t="e">
        <f>ws_direct_ads_w_pT(U5,V5,$E$37,$E$38,$E$39,$E$40,$N$40,$E$41,$N$41,$E$42,$N$42)</f>
        <v>#VALUE!</v>
      </c>
      <c r="Y5" s="1"/>
      <c r="Z5" s="12">
        <v>135.82</v>
      </c>
      <c r="AA5" s="18">
        <f>75+273.15</f>
        <v>348.15</v>
      </c>
      <c r="AB5" s="13">
        <v>6.1356615320000002E-3</v>
      </c>
      <c r="AC5" s="14" t="e">
        <f>ws_direct_ads_w_pT(Z5,AA5,$E$37,$E$38,$E$39,$E$40,$N$40,$E$41,$N$41,$E$42,$N$42)</f>
        <v>#VALUE!</v>
      </c>
      <c r="AD5" s="1"/>
      <c r="AE5" s="12">
        <v>342.47300000000001</v>
      </c>
      <c r="AF5" s="18">
        <f>100+273.15</f>
        <v>373.15</v>
      </c>
      <c r="AG5" s="13">
        <v>5.6202927220000013E-3</v>
      </c>
      <c r="AH5" s="14" t="e">
        <f>ws_direct_ads_w_pT(AE5,AF5,$E$37,$E$38,$E$39,$E$40,$N$40,$E$41,$N$41,$E$42,$N$42)</f>
        <v>#VALUE!</v>
      </c>
      <c r="AI5" s="1"/>
      <c r="AJ5" s="12">
        <v>648.08900000000006</v>
      </c>
      <c r="AK5" s="18">
        <f>125+273.15</f>
        <v>398.15</v>
      </c>
      <c r="AL5" s="13">
        <v>5.2401697150000004E-3</v>
      </c>
      <c r="AM5" s="14" t="e">
        <f>ws_direct_ads_w_pT(AJ5,AK5,$E$37,$E$38,$E$39,$E$40,$N$40,$E$41,$N$41,$E$42,$N$42)</f>
        <v>#VALUE!</v>
      </c>
      <c r="AN5" s="1"/>
      <c r="AO5" s="12">
        <v>981.04700000000003</v>
      </c>
      <c r="AP5" s="18">
        <f>150+273.15</f>
        <v>423.15</v>
      </c>
      <c r="AQ5" s="13">
        <v>4.4830484819999997E-3</v>
      </c>
      <c r="AR5" s="14" t="e">
        <f>ws_direct_ads_w_pT(AO5,AP5,$E$37,$E$38,$E$39,$E$40,$N$40,$E$41,$N$41,$E$42,$N$42)</f>
        <v>#VALUE!</v>
      </c>
      <c r="AS5" s="1"/>
      <c r="AT5" s="12">
        <v>2636.65</v>
      </c>
      <c r="AU5" s="18">
        <f>175+273.15</f>
        <v>448.15</v>
      </c>
      <c r="AV5" s="13">
        <v>5.4129128900000005E-3</v>
      </c>
      <c r="AW5" s="14" t="e">
        <f>ws_direct_ads_w_pT(AT5,AU5,$E$37,$E$38,$E$39,$E$40,$N$40,$E$41,$N$41,$E$42,$N$42)</f>
        <v>#VALUE!</v>
      </c>
    </row>
    <row r="6" spans="1:49" x14ac:dyDescent="0.45">
      <c r="A6">
        <v>9.3224300000000007</v>
      </c>
      <c r="B6" s="17">
        <f t="shared" ref="B6:B11" si="2">-45+273.15</f>
        <v>228.14999999999998</v>
      </c>
      <c r="C6" s="4">
        <v>6.4506922700000011E-2</v>
      </c>
      <c r="D6" s="10" t="e">
        <f t="shared" ref="D6:D11" si="3">ws_direct_ads_w_pT(A6,B6,$E$37,$E$38,$E$39,$E$40,$N$40,$E$41,$N$41,$E$42,$N$42)</f>
        <v>#VALUE!</v>
      </c>
      <c r="E6" s="1"/>
      <c r="F6" s="3">
        <v>3.9406500000000002</v>
      </c>
      <c r="G6" s="19">
        <f t="shared" ref="G6:G15" si="4">-25+273.15</f>
        <v>248.14999999999998</v>
      </c>
      <c r="H6" s="4">
        <v>2.4556597615000005E-2</v>
      </c>
      <c r="I6" s="10" t="e">
        <f t="shared" si="0"/>
        <v>#VALUE!</v>
      </c>
      <c r="J6" s="1"/>
      <c r="K6" s="3">
        <v>7.9483499999999996</v>
      </c>
      <c r="L6" s="19">
        <f t="shared" ref="L6:L19" si="5">0+273.15</f>
        <v>273.14999999999998</v>
      </c>
      <c r="M6" s="4">
        <v>1.2726572848E-2</v>
      </c>
      <c r="N6" s="10" t="e">
        <f t="shared" si="1"/>
        <v>#VALUE!</v>
      </c>
      <c r="O6" s="1"/>
      <c r="P6" s="3">
        <v>9.3224300000000007</v>
      </c>
      <c r="Q6" s="19">
        <f t="shared" ref="Q6:Q34" si="6">25+273.15</f>
        <v>298.14999999999998</v>
      </c>
      <c r="R6" s="4">
        <v>6.1603517029999999E-3</v>
      </c>
      <c r="S6" s="10" t="e">
        <f t="shared" ref="S6:S34" si="7">ws_direct_ads_w_pT(P6,Q6,$E$37,$E$38,$E$39,$E$40,$N$40,$E$41,$N$41,$E$42,$N$42)</f>
        <v>#VALUE!</v>
      </c>
      <c r="T6" s="1"/>
      <c r="U6" s="3">
        <v>108.645</v>
      </c>
      <c r="V6" s="19">
        <f t="shared" ref="V6:V20" si="8">50+273.15</f>
        <v>323.14999999999998</v>
      </c>
      <c r="W6" s="4">
        <v>1.0483508222000001E-2</v>
      </c>
      <c r="X6" s="10" t="e">
        <f t="shared" ref="X6:X20" si="9">ws_direct_ads_w_pT(U6,V6,$E$37,$E$38,$E$39,$E$40,$N$40,$E$41,$N$41,$E$42,$N$42)</f>
        <v>#VALUE!</v>
      </c>
      <c r="Y6" s="1"/>
      <c r="Z6" s="3">
        <v>321.31099999999998</v>
      </c>
      <c r="AA6" s="19">
        <f t="shared" ref="AA6:AA20" si="10">75+273.15</f>
        <v>348.15</v>
      </c>
      <c r="AB6" s="4">
        <v>9.9380358880000012E-3</v>
      </c>
      <c r="AC6" s="10" t="e">
        <f t="shared" ref="AC6:AC20" si="11">ws_direct_ads_w_pT(Z6,AA6,$E$37,$E$38,$E$39,$E$40,$N$40,$E$41,$N$41,$E$42,$N$42)</f>
        <v>#VALUE!</v>
      </c>
      <c r="AD6" s="1"/>
      <c r="AE6" s="3">
        <v>736.26800000000003</v>
      </c>
      <c r="AF6" s="19">
        <f t="shared" ref="AF6:AF20" si="12">100+273.15</f>
        <v>373.15</v>
      </c>
      <c r="AG6" s="4">
        <v>9.1045995810000013E-3</v>
      </c>
      <c r="AH6" s="10" t="e">
        <f t="shared" ref="AH6:AH20" si="13">ws_direct_ads_w_pT(AE6,AF6,$E$37,$E$38,$E$39,$E$40,$N$40,$E$41,$N$41,$E$42,$N$42)</f>
        <v>#VALUE!</v>
      </c>
      <c r="AI6" s="1"/>
      <c r="AJ6" s="3">
        <v>1307.2</v>
      </c>
      <c r="AK6" s="19">
        <f t="shared" ref="AK6:AK20" si="14">125+273.15</f>
        <v>398.15</v>
      </c>
      <c r="AL6" s="4">
        <v>7.9229482420000007E-3</v>
      </c>
      <c r="AM6" s="10" t="e">
        <f t="shared" ref="AM6:AM20" si="15">ws_direct_ads_w_pT(AJ6,AK6,$E$37,$E$38,$E$39,$E$40,$N$40,$E$41,$N$41,$E$42,$N$42)</f>
        <v>#VALUE!</v>
      </c>
      <c r="AN6" s="1"/>
      <c r="AO6" s="3">
        <v>2042.91</v>
      </c>
      <c r="AP6" s="19">
        <f t="shared" ref="AP6:AP19" si="16">150+273.15</f>
        <v>423.15</v>
      </c>
      <c r="AQ6" s="4">
        <v>6.7779140550000014E-3</v>
      </c>
      <c r="AR6" s="10" t="e">
        <f t="shared" ref="AR6:AR19" si="17">ws_direct_ads_w_pT(AO6,AP6,$E$37,$E$38,$E$39,$E$40,$N$40,$E$41,$N$41,$E$42,$N$42)</f>
        <v>#VALUE!</v>
      </c>
      <c r="AS6" s="1"/>
      <c r="AT6" s="3">
        <v>3513.23</v>
      </c>
      <c r="AU6" s="19">
        <f t="shared" ref="AU6:AU18" si="18">175+273.15</f>
        <v>448.15</v>
      </c>
      <c r="AV6" s="4">
        <v>6.2121526500000003E-3</v>
      </c>
      <c r="AW6" s="10" t="e">
        <f t="shared" ref="AW6:AW18" si="19">ws_direct_ads_w_pT(AT6,AU6,$E$37,$E$38,$E$39,$E$40,$N$40,$E$41,$N$41,$E$42,$N$42)</f>
        <v>#VALUE!</v>
      </c>
    </row>
    <row r="7" spans="1:49" x14ac:dyDescent="0.45">
      <c r="A7">
        <v>25.0549</v>
      </c>
      <c r="B7" s="17">
        <f t="shared" si="2"/>
        <v>228.14999999999998</v>
      </c>
      <c r="C7" s="4">
        <v>8.3457179079999999E-2</v>
      </c>
      <c r="D7" s="10" t="e">
        <f t="shared" si="3"/>
        <v>#VALUE!</v>
      </c>
      <c r="E7" s="1"/>
      <c r="F7" s="3">
        <v>6.5640900000000002</v>
      </c>
      <c r="G7" s="19">
        <f t="shared" si="4"/>
        <v>248.14999999999998</v>
      </c>
      <c r="H7" s="4">
        <v>3.1793282334E-2</v>
      </c>
      <c r="I7" s="10" t="e">
        <f t="shared" si="0"/>
        <v>#VALUE!</v>
      </c>
      <c r="J7" s="1"/>
      <c r="K7" s="3">
        <v>10.5908</v>
      </c>
      <c r="L7" s="19">
        <f t="shared" si="5"/>
        <v>273.14999999999998</v>
      </c>
      <c r="M7" s="4">
        <v>1.5650355611000002E-2</v>
      </c>
      <c r="N7" s="10" t="e">
        <f t="shared" si="1"/>
        <v>#VALUE!</v>
      </c>
      <c r="O7" s="1"/>
      <c r="P7" s="3">
        <v>14.5692</v>
      </c>
      <c r="Q7" s="19">
        <f t="shared" si="6"/>
        <v>298.14999999999998</v>
      </c>
      <c r="R7" s="4">
        <v>7.5738529899999994E-3</v>
      </c>
      <c r="S7" s="10" t="e">
        <f t="shared" si="7"/>
        <v>#VALUE!</v>
      </c>
      <c r="T7" s="1"/>
      <c r="U7" s="3">
        <v>164.46199999999999</v>
      </c>
      <c r="V7" s="19">
        <f t="shared" si="8"/>
        <v>323.14999999999998</v>
      </c>
      <c r="W7" s="4">
        <v>1.2668830416000001E-2</v>
      </c>
      <c r="X7" s="10" t="e">
        <f t="shared" si="9"/>
        <v>#VALUE!</v>
      </c>
      <c r="Y7" s="1"/>
      <c r="Z7" s="3">
        <v>471.11900000000003</v>
      </c>
      <c r="AA7" s="19">
        <f t="shared" si="10"/>
        <v>348.15</v>
      </c>
      <c r="AB7" s="4">
        <v>1.1804586409000001E-2</v>
      </c>
      <c r="AC7" s="10" t="e">
        <f t="shared" si="11"/>
        <v>#VALUE!</v>
      </c>
      <c r="AD7" s="1"/>
      <c r="AE7" s="3">
        <v>1045.6600000000001</v>
      </c>
      <c r="AF7" s="19">
        <f t="shared" si="12"/>
        <v>373.15</v>
      </c>
      <c r="AG7" s="4">
        <v>1.1003542198000002E-2</v>
      </c>
      <c r="AH7" s="10" t="e">
        <f t="shared" si="13"/>
        <v>#VALUE!</v>
      </c>
      <c r="AI7" s="1"/>
      <c r="AJ7" s="3">
        <v>1798.24</v>
      </c>
      <c r="AK7" s="19">
        <f t="shared" si="14"/>
        <v>398.15</v>
      </c>
      <c r="AL7" s="4">
        <v>9.2508041230000004E-3</v>
      </c>
      <c r="AM7" s="10" t="e">
        <f t="shared" si="15"/>
        <v>#VALUE!</v>
      </c>
      <c r="AN7" s="1"/>
      <c r="AO7" s="3">
        <v>2553.89</v>
      </c>
      <c r="AP7" s="19">
        <f t="shared" si="16"/>
        <v>423.15</v>
      </c>
      <c r="AQ7" s="4">
        <v>8.052868714000001E-3</v>
      </c>
      <c r="AR7" s="10" t="e">
        <f t="shared" si="17"/>
        <v>#VALUE!</v>
      </c>
      <c r="AS7" s="1"/>
      <c r="AT7" s="3">
        <v>4254.1099999999997</v>
      </c>
      <c r="AU7" s="19">
        <f t="shared" si="18"/>
        <v>448.15</v>
      </c>
      <c r="AV7" s="4">
        <v>6.6545512219999998E-3</v>
      </c>
      <c r="AW7" s="10" t="e">
        <f t="shared" si="19"/>
        <v>#VALUE!</v>
      </c>
    </row>
    <row r="8" spans="1:49" x14ac:dyDescent="0.45">
      <c r="A8">
        <v>63.176299999999998</v>
      </c>
      <c r="B8" s="17">
        <f t="shared" si="2"/>
        <v>228.14999999999998</v>
      </c>
      <c r="C8" s="4">
        <v>0.10613560727000003</v>
      </c>
      <c r="D8" s="10" t="e">
        <f t="shared" si="3"/>
        <v>#VALUE!</v>
      </c>
      <c r="E8" s="1"/>
      <c r="F8" s="3">
        <v>13.2399</v>
      </c>
      <c r="G8" s="19">
        <f t="shared" si="4"/>
        <v>248.14999999999998</v>
      </c>
      <c r="H8" s="4">
        <v>4.1150813132000003E-2</v>
      </c>
      <c r="I8" s="10" t="e">
        <f t="shared" si="0"/>
        <v>#VALUE!</v>
      </c>
      <c r="J8" s="1"/>
      <c r="K8" s="3">
        <v>17.6416</v>
      </c>
      <c r="L8" s="19">
        <f t="shared" si="5"/>
        <v>273.14999999999998</v>
      </c>
      <c r="M8" s="4">
        <v>2.0262444345000002E-2</v>
      </c>
      <c r="N8" s="10" t="e">
        <f t="shared" si="1"/>
        <v>#VALUE!</v>
      </c>
      <c r="O8" s="1"/>
      <c r="P8" s="3">
        <v>30.3385</v>
      </c>
      <c r="Q8" s="19">
        <f t="shared" si="6"/>
        <v>298.14999999999998</v>
      </c>
      <c r="R8" s="4">
        <v>1.0686574976E-2</v>
      </c>
      <c r="S8" s="10" t="e">
        <f t="shared" si="7"/>
        <v>#VALUE!</v>
      </c>
      <c r="T8" s="1"/>
      <c r="U8" s="3">
        <v>199.14500000000001</v>
      </c>
      <c r="V8" s="19">
        <f t="shared" si="8"/>
        <v>323.14999999999998</v>
      </c>
      <c r="W8" s="4">
        <v>1.5052642220000001E-2</v>
      </c>
      <c r="X8" s="10" t="e">
        <f t="shared" si="9"/>
        <v>#VALUE!</v>
      </c>
      <c r="Y8" s="1"/>
      <c r="Z8" s="3">
        <v>608.04200000000003</v>
      </c>
      <c r="AA8" s="19">
        <f t="shared" si="10"/>
        <v>348.15</v>
      </c>
      <c r="AB8" s="4">
        <v>1.4024413227000002E-2</v>
      </c>
      <c r="AC8" s="10" t="e">
        <f t="shared" si="11"/>
        <v>#VALUE!</v>
      </c>
      <c r="AD8" s="1"/>
      <c r="AE8" s="3">
        <v>1393.3</v>
      </c>
      <c r="AF8" s="19">
        <f t="shared" si="12"/>
        <v>373.15</v>
      </c>
      <c r="AG8" s="4">
        <v>1.2848263263000002E-2</v>
      </c>
      <c r="AH8" s="10" t="e">
        <f t="shared" si="13"/>
        <v>#VALUE!</v>
      </c>
      <c r="AI8" s="1"/>
      <c r="AJ8" s="3">
        <v>2396.08</v>
      </c>
      <c r="AK8" s="19">
        <f t="shared" si="14"/>
        <v>398.15</v>
      </c>
      <c r="AL8" s="4">
        <v>1.04350081E-2</v>
      </c>
      <c r="AM8" s="10" t="e">
        <f t="shared" si="15"/>
        <v>#VALUE!</v>
      </c>
      <c r="AN8" s="1"/>
      <c r="AO8" s="3">
        <v>3296.14</v>
      </c>
      <c r="AP8" s="19">
        <f t="shared" si="16"/>
        <v>423.15</v>
      </c>
      <c r="AQ8" s="4">
        <v>8.9285995920000017E-3</v>
      </c>
      <c r="AR8" s="10" t="e">
        <f t="shared" si="17"/>
        <v>#VALUE!</v>
      </c>
      <c r="AS8" s="1"/>
      <c r="AT8" s="3">
        <v>6041.76</v>
      </c>
      <c r="AU8" s="19">
        <f t="shared" si="18"/>
        <v>448.15</v>
      </c>
      <c r="AV8" s="4">
        <v>8.0424821180000005E-3</v>
      </c>
      <c r="AW8" s="10" t="e">
        <f t="shared" si="19"/>
        <v>#VALUE!</v>
      </c>
    </row>
    <row r="9" spans="1:49" x14ac:dyDescent="0.45">
      <c r="A9">
        <v>127.42700000000001</v>
      </c>
      <c r="B9" s="17">
        <f t="shared" si="2"/>
        <v>228.14999999999998</v>
      </c>
      <c r="C9" s="4">
        <v>0.13270988918000001</v>
      </c>
      <c r="D9" s="10" t="e">
        <f t="shared" si="3"/>
        <v>#VALUE!</v>
      </c>
      <c r="E9" s="1"/>
      <c r="F9" s="3">
        <v>24.2684</v>
      </c>
      <c r="G9" s="19">
        <f t="shared" si="4"/>
        <v>248.14999999999998</v>
      </c>
      <c r="H9" s="4">
        <v>5.0580521970000007E-2</v>
      </c>
      <c r="I9" s="10" t="e">
        <f t="shared" si="0"/>
        <v>#VALUE!</v>
      </c>
      <c r="J9" s="1"/>
      <c r="K9" s="3">
        <v>25.866800000000001</v>
      </c>
      <c r="L9" s="19">
        <f t="shared" si="5"/>
        <v>273.14999999999998</v>
      </c>
      <c r="M9" s="4">
        <v>2.4913922924E-2</v>
      </c>
      <c r="N9" s="10" t="e">
        <f t="shared" si="1"/>
        <v>#VALUE!</v>
      </c>
      <c r="O9" s="1"/>
      <c r="P9" s="3">
        <v>39.155999999999999</v>
      </c>
      <c r="Q9" s="19">
        <f t="shared" si="6"/>
        <v>298.14999999999998</v>
      </c>
      <c r="R9" s="4">
        <v>1.2696161247000001E-2</v>
      </c>
      <c r="S9" s="10" t="e">
        <f t="shared" si="7"/>
        <v>#VALUE!</v>
      </c>
      <c r="T9" s="1"/>
      <c r="U9" s="3">
        <v>331.72300000000001</v>
      </c>
      <c r="V9" s="19">
        <f t="shared" si="8"/>
        <v>323.14999999999998</v>
      </c>
      <c r="W9" s="4">
        <v>1.9154907530000001E-2</v>
      </c>
      <c r="X9" s="10" t="e">
        <f t="shared" si="9"/>
        <v>#VALUE!</v>
      </c>
      <c r="Y9" s="1"/>
      <c r="Z9" s="3">
        <v>950.25300000000004</v>
      </c>
      <c r="AA9" s="19">
        <f t="shared" si="10"/>
        <v>348.15</v>
      </c>
      <c r="AB9" s="4">
        <v>1.7542608556000001E-2</v>
      </c>
      <c r="AC9" s="10" t="e">
        <f t="shared" si="11"/>
        <v>#VALUE!</v>
      </c>
      <c r="AD9" s="1"/>
      <c r="AE9" s="3">
        <v>2042.91</v>
      </c>
      <c r="AF9" s="19">
        <f t="shared" si="12"/>
        <v>373.15</v>
      </c>
      <c r="AG9" s="4">
        <v>1.5527300855E-2</v>
      </c>
      <c r="AH9" s="10" t="e">
        <f t="shared" si="13"/>
        <v>#VALUE!</v>
      </c>
      <c r="AI9" s="1"/>
      <c r="AJ9" s="3">
        <v>3513.23</v>
      </c>
      <c r="AK9" s="19">
        <f t="shared" si="14"/>
        <v>398.15</v>
      </c>
      <c r="AL9" s="4">
        <v>1.3053970677000001E-2</v>
      </c>
      <c r="AM9" s="10" t="e">
        <f t="shared" si="15"/>
        <v>#VALUE!</v>
      </c>
      <c r="AN9" s="1"/>
      <c r="AO9" s="3">
        <v>4681.2299999999996</v>
      </c>
      <c r="AP9" s="19">
        <f t="shared" si="16"/>
        <v>423.15</v>
      </c>
      <c r="AQ9" s="4">
        <v>1.0790837035E-2</v>
      </c>
      <c r="AR9" s="10" t="e">
        <f t="shared" si="17"/>
        <v>#VALUE!</v>
      </c>
      <c r="AS9" s="1"/>
      <c r="AT9" s="3">
        <v>8050.39</v>
      </c>
      <c r="AU9" s="19">
        <f t="shared" si="18"/>
        <v>448.15</v>
      </c>
      <c r="AV9" s="4">
        <v>9.5543920010000005E-3</v>
      </c>
      <c r="AW9" s="10" t="e">
        <f t="shared" si="19"/>
        <v>#VALUE!</v>
      </c>
    </row>
    <row r="10" spans="1:49" x14ac:dyDescent="0.45">
      <c r="A10">
        <v>376.858</v>
      </c>
      <c r="B10" s="17">
        <f t="shared" si="2"/>
        <v>228.14999999999998</v>
      </c>
      <c r="C10" s="4">
        <v>0.16873201246000002</v>
      </c>
      <c r="D10" s="10" t="e">
        <f t="shared" si="3"/>
        <v>#VALUE!</v>
      </c>
      <c r="E10" s="1"/>
      <c r="F10" s="3">
        <v>50.536000000000001</v>
      </c>
      <c r="G10" s="19">
        <f t="shared" si="4"/>
        <v>248.14999999999998</v>
      </c>
      <c r="H10" s="4">
        <v>6.5464602060000002E-2</v>
      </c>
      <c r="I10" s="10" t="e">
        <f t="shared" si="0"/>
        <v>#VALUE!</v>
      </c>
      <c r="J10" s="1"/>
      <c r="K10" s="3">
        <v>47.4133</v>
      </c>
      <c r="L10" s="19">
        <f t="shared" si="5"/>
        <v>273.14999999999998</v>
      </c>
      <c r="M10" s="4">
        <v>3.2813105225999999E-2</v>
      </c>
      <c r="N10" s="10" t="e">
        <f t="shared" si="1"/>
        <v>#VALUE!</v>
      </c>
      <c r="O10" s="1"/>
      <c r="P10" s="3">
        <v>52.173699999999997</v>
      </c>
      <c r="Q10" s="19">
        <f t="shared" si="6"/>
        <v>298.14999999999998</v>
      </c>
      <c r="R10" s="4">
        <v>1.5345623447E-2</v>
      </c>
      <c r="S10" s="10" t="e">
        <f t="shared" si="7"/>
        <v>#VALUE!</v>
      </c>
      <c r="T10" s="1"/>
      <c r="U10" s="3">
        <v>471.11900000000003</v>
      </c>
      <c r="V10" s="19">
        <f t="shared" si="8"/>
        <v>323.14999999999998</v>
      </c>
      <c r="W10" s="4">
        <v>2.3553278848E-2</v>
      </c>
      <c r="X10" s="10" t="e">
        <f t="shared" si="9"/>
        <v>#VALUE!</v>
      </c>
      <c r="Y10" s="1"/>
      <c r="Z10" s="3">
        <v>1393.3</v>
      </c>
      <c r="AA10" s="19">
        <f t="shared" si="10"/>
        <v>348.15</v>
      </c>
      <c r="AB10" s="4">
        <v>2.1945468996000004E-2</v>
      </c>
      <c r="AC10" s="10" t="e">
        <f t="shared" si="11"/>
        <v>#VALUE!</v>
      </c>
      <c r="AD10" s="1"/>
      <c r="AE10" s="3">
        <v>2810.31</v>
      </c>
      <c r="AF10" s="19">
        <f t="shared" si="12"/>
        <v>373.15</v>
      </c>
      <c r="AG10" s="4">
        <v>1.9093600207000003E-2</v>
      </c>
      <c r="AH10" s="10" t="e">
        <f t="shared" si="13"/>
        <v>#VALUE!</v>
      </c>
      <c r="AI10" s="1"/>
      <c r="AJ10" s="3">
        <v>4681.2299999999996</v>
      </c>
      <c r="AK10" s="19">
        <f t="shared" si="14"/>
        <v>398.15</v>
      </c>
      <c r="AL10" s="4">
        <v>1.5242461663000001E-2</v>
      </c>
      <c r="AM10" s="10" t="e">
        <f t="shared" si="15"/>
        <v>#VALUE!</v>
      </c>
      <c r="AN10" s="1"/>
      <c r="AO10" s="3">
        <v>6237.55</v>
      </c>
      <c r="AP10" s="19">
        <f t="shared" si="16"/>
        <v>423.15</v>
      </c>
      <c r="AQ10" s="4">
        <v>1.2172210292000002E-2</v>
      </c>
      <c r="AR10" s="10" t="e">
        <f t="shared" si="17"/>
        <v>#VALUE!</v>
      </c>
      <c r="AS10" s="1"/>
      <c r="AT10" s="3">
        <v>10726.8</v>
      </c>
      <c r="AU10" s="19">
        <f t="shared" si="18"/>
        <v>448.15</v>
      </c>
      <c r="AV10" s="4">
        <v>1.1749396615000001E-2</v>
      </c>
      <c r="AW10" s="10" t="e">
        <f t="shared" si="19"/>
        <v>#VALUE!</v>
      </c>
    </row>
    <row r="11" spans="1:49" x14ac:dyDescent="0.45">
      <c r="A11">
        <v>2042.91</v>
      </c>
      <c r="B11" s="17">
        <f t="shared" si="2"/>
        <v>228.14999999999998</v>
      </c>
      <c r="C11" s="4">
        <v>0.21066657347999998</v>
      </c>
      <c r="D11" s="10" t="e">
        <f t="shared" si="3"/>
        <v>#VALUE!</v>
      </c>
      <c r="E11" s="1"/>
      <c r="F11" s="3">
        <v>131.55699999999999</v>
      </c>
      <c r="G11" s="19">
        <f t="shared" si="4"/>
        <v>248.14999999999998</v>
      </c>
      <c r="H11" s="4">
        <v>8.1824370980000005E-2</v>
      </c>
      <c r="I11" s="10" t="e">
        <f t="shared" si="0"/>
        <v>#VALUE!</v>
      </c>
      <c r="J11" s="1"/>
      <c r="K11" s="3">
        <v>89.724000000000004</v>
      </c>
      <c r="L11" s="19">
        <f t="shared" si="5"/>
        <v>273.14999999999998</v>
      </c>
      <c r="M11" s="4">
        <v>4.1747646303000006E-2</v>
      </c>
      <c r="N11" s="10" t="e">
        <f t="shared" si="1"/>
        <v>#VALUE!</v>
      </c>
      <c r="O11" s="1"/>
      <c r="P11" s="3">
        <v>65.223500000000001</v>
      </c>
      <c r="Q11" s="19">
        <f t="shared" si="6"/>
        <v>298.14999999999998</v>
      </c>
      <c r="R11" s="4">
        <v>1.6723959945000002E-2</v>
      </c>
      <c r="S11" s="10" t="e">
        <f t="shared" si="7"/>
        <v>#VALUE!</v>
      </c>
      <c r="T11" s="1"/>
      <c r="U11" s="3">
        <v>836.44600000000003</v>
      </c>
      <c r="V11" s="19">
        <f t="shared" si="8"/>
        <v>323.14999999999998</v>
      </c>
      <c r="W11" s="4">
        <v>3.0491436954000004E-2</v>
      </c>
      <c r="X11" s="10" t="e">
        <f t="shared" si="9"/>
        <v>#VALUE!</v>
      </c>
      <c r="Y11" s="1"/>
      <c r="Z11" s="3">
        <v>2109.11</v>
      </c>
      <c r="AA11" s="19">
        <f t="shared" si="10"/>
        <v>348.15</v>
      </c>
      <c r="AB11" s="4">
        <v>2.793026082E-2</v>
      </c>
      <c r="AC11" s="10" t="e">
        <f t="shared" si="11"/>
        <v>#VALUE!</v>
      </c>
      <c r="AD11" s="1"/>
      <c r="AE11" s="3">
        <v>4120.58</v>
      </c>
      <c r="AF11" s="19">
        <f t="shared" si="12"/>
        <v>373.15</v>
      </c>
      <c r="AG11" s="4">
        <v>2.3476787729999997E-2</v>
      </c>
      <c r="AH11" s="10" t="e">
        <f t="shared" si="13"/>
        <v>#VALUE!</v>
      </c>
      <c r="AI11" s="1"/>
      <c r="AJ11" s="3">
        <v>6439.68</v>
      </c>
      <c r="AK11" s="19">
        <f t="shared" si="14"/>
        <v>398.15</v>
      </c>
      <c r="AL11" s="4">
        <v>1.9069878278E-2</v>
      </c>
      <c r="AM11" s="10" t="e">
        <f t="shared" si="15"/>
        <v>#VALUE!</v>
      </c>
      <c r="AN11" s="1"/>
      <c r="AO11" s="3">
        <v>8858.67</v>
      </c>
      <c r="AP11" s="19">
        <f t="shared" si="16"/>
        <v>423.15</v>
      </c>
      <c r="AQ11" s="4">
        <v>1.5227894022E-2</v>
      </c>
      <c r="AR11" s="10" t="e">
        <f t="shared" si="17"/>
        <v>#VALUE!</v>
      </c>
      <c r="AS11" s="1"/>
      <c r="AT11" s="3">
        <v>14293</v>
      </c>
      <c r="AU11" s="19">
        <f t="shared" si="18"/>
        <v>448.15</v>
      </c>
      <c r="AV11" s="4">
        <v>1.3719196942E-2</v>
      </c>
      <c r="AW11" s="10" t="e">
        <f t="shared" si="19"/>
        <v>#VALUE!</v>
      </c>
    </row>
    <row r="12" spans="1:49" x14ac:dyDescent="0.45">
      <c r="A12" s="3"/>
      <c r="B12" s="1"/>
      <c r="C12" s="4"/>
      <c r="D12" s="10"/>
      <c r="E12" s="1"/>
      <c r="F12" s="3">
        <v>291.99400000000003</v>
      </c>
      <c r="G12" s="19">
        <f t="shared" si="4"/>
        <v>248.14999999999998</v>
      </c>
      <c r="H12" s="4">
        <v>0.10407897324000001</v>
      </c>
      <c r="I12" s="10" t="e">
        <f t="shared" si="0"/>
        <v>#VALUE!</v>
      </c>
      <c r="J12" s="1"/>
      <c r="K12" s="3">
        <v>159.30000000000001</v>
      </c>
      <c r="L12" s="19">
        <f t="shared" si="5"/>
        <v>273.14999999999998</v>
      </c>
      <c r="M12" s="4">
        <v>5.1316385890000003E-2</v>
      </c>
      <c r="N12" s="10" t="e">
        <f t="shared" si="1"/>
        <v>#VALUE!</v>
      </c>
      <c r="O12" s="1"/>
      <c r="P12" s="3">
        <v>95.633399999999995</v>
      </c>
      <c r="Q12" s="19">
        <f t="shared" si="6"/>
        <v>298.14999999999998</v>
      </c>
      <c r="R12" s="4">
        <v>1.9865069026E-2</v>
      </c>
      <c r="S12" s="10" t="e">
        <f t="shared" si="7"/>
        <v>#VALUE!</v>
      </c>
      <c r="T12" s="1"/>
      <c r="U12" s="3">
        <v>1393.3</v>
      </c>
      <c r="V12" s="19">
        <f t="shared" si="8"/>
        <v>323.14999999999998</v>
      </c>
      <c r="W12" s="4">
        <v>3.8801197874999999E-2</v>
      </c>
      <c r="X12" s="10" t="e">
        <f t="shared" si="9"/>
        <v>#VALUE!</v>
      </c>
      <c r="Y12" s="1"/>
      <c r="Z12" s="3">
        <v>3402.95</v>
      </c>
      <c r="AA12" s="19">
        <f t="shared" si="10"/>
        <v>348.15</v>
      </c>
      <c r="AB12" s="4">
        <v>3.4935227624000004E-2</v>
      </c>
      <c r="AC12" s="10" t="e">
        <f t="shared" si="11"/>
        <v>#VALUE!</v>
      </c>
      <c r="AD12" s="1"/>
      <c r="AE12" s="3">
        <v>6237.55</v>
      </c>
      <c r="AF12" s="19">
        <f t="shared" si="12"/>
        <v>373.15</v>
      </c>
      <c r="AG12" s="4">
        <v>2.9367616068999999E-2</v>
      </c>
      <c r="AH12" s="10" t="e">
        <f t="shared" si="13"/>
        <v>#VALUE!</v>
      </c>
      <c r="AI12" s="1"/>
      <c r="AJ12" s="3">
        <v>8858.67</v>
      </c>
      <c r="AK12" s="19">
        <f t="shared" si="14"/>
        <v>398.15</v>
      </c>
      <c r="AL12" s="4">
        <v>2.3449852998000002E-2</v>
      </c>
      <c r="AM12" s="10" t="e">
        <f>ws_direct_ads_w_pT(AJ12,AK12,$E$37,$E$38,$E$39,$E$40,$N$40,$E$41,$N$41,$E$42,$N$42)</f>
        <v>#VALUE!</v>
      </c>
      <c r="AN12" s="1"/>
      <c r="AO12" s="3">
        <v>12186.3</v>
      </c>
      <c r="AP12" s="19">
        <f t="shared" si="16"/>
        <v>423.15</v>
      </c>
      <c r="AQ12" s="4">
        <v>1.8404872068000004E-2</v>
      </c>
      <c r="AR12" s="10" t="e">
        <f t="shared" si="17"/>
        <v>#VALUE!</v>
      </c>
      <c r="AS12" s="1"/>
      <c r="AT12" s="3">
        <v>17868.099999999999</v>
      </c>
      <c r="AU12" s="19">
        <f t="shared" si="18"/>
        <v>448.15</v>
      </c>
      <c r="AV12" s="4">
        <v>1.6020752186999998E-2</v>
      </c>
      <c r="AW12" s="10" t="e">
        <f t="shared" si="19"/>
        <v>#VALUE!</v>
      </c>
    </row>
    <row r="13" spans="1:49" x14ac:dyDescent="0.45">
      <c r="A13" s="3"/>
      <c r="B13" s="1"/>
      <c r="C13" s="4"/>
      <c r="D13" s="10"/>
      <c r="E13" s="1"/>
      <c r="F13" s="3">
        <v>608.04200000000003</v>
      </c>
      <c r="G13" s="19">
        <f t="shared" si="4"/>
        <v>248.14999999999998</v>
      </c>
      <c r="H13" s="4">
        <v>0.13013216490999999</v>
      </c>
      <c r="I13" s="10" t="e">
        <f t="shared" si="0"/>
        <v>#VALUE!</v>
      </c>
      <c r="J13" s="1"/>
      <c r="K13" s="3">
        <v>321.31099999999998</v>
      </c>
      <c r="L13" s="19">
        <f t="shared" si="5"/>
        <v>273.14999999999998</v>
      </c>
      <c r="M13" s="4">
        <v>6.5283276740000007E-2</v>
      </c>
      <c r="N13" s="10" t="e">
        <f t="shared" si="1"/>
        <v>#VALUE!</v>
      </c>
      <c r="O13" s="1"/>
      <c r="P13" s="3">
        <v>135.82</v>
      </c>
      <c r="Q13" s="19">
        <f t="shared" si="6"/>
        <v>298.14999999999998</v>
      </c>
      <c r="R13" s="4">
        <v>2.4426545110000003E-2</v>
      </c>
      <c r="S13" s="10" t="e">
        <f t="shared" si="7"/>
        <v>#VALUE!</v>
      </c>
      <c r="T13" s="1"/>
      <c r="U13" s="3">
        <v>2109.11</v>
      </c>
      <c r="V13" s="19">
        <f t="shared" si="8"/>
        <v>323.14999999999998</v>
      </c>
      <c r="W13" s="4">
        <v>4.6889319399999997E-2</v>
      </c>
      <c r="X13" s="10" t="e">
        <f t="shared" si="9"/>
        <v>#VALUE!</v>
      </c>
      <c r="Y13" s="1"/>
      <c r="Z13" s="3">
        <v>4832.93</v>
      </c>
      <c r="AA13" s="19">
        <f t="shared" si="10"/>
        <v>348.15</v>
      </c>
      <c r="AB13" s="4">
        <v>4.0788250514000007E-2</v>
      </c>
      <c r="AC13" s="10" t="e">
        <f t="shared" si="11"/>
        <v>#VALUE!</v>
      </c>
      <c r="AD13" s="1"/>
      <c r="AE13" s="3">
        <v>8050.39</v>
      </c>
      <c r="AF13" s="19">
        <f t="shared" si="12"/>
        <v>373.15</v>
      </c>
      <c r="AG13" s="4">
        <v>3.4890116349000001E-2</v>
      </c>
      <c r="AH13" s="10" t="e">
        <f t="shared" si="13"/>
        <v>#VALUE!</v>
      </c>
      <c r="AI13" s="1"/>
      <c r="AJ13" s="3">
        <v>11803.8</v>
      </c>
      <c r="AK13" s="19">
        <f t="shared" si="14"/>
        <v>398.15</v>
      </c>
      <c r="AL13" s="4">
        <v>2.7381267606000001E-2</v>
      </c>
      <c r="AM13" s="10" t="e">
        <f>ws_direct_ads_w_pT(AJ13,AK13,$E$37,$E$38,$E$39,$E$40,$N$40,$E$41,$N$41,$E$42,$N$42)</f>
        <v>#VALUE!</v>
      </c>
      <c r="AN13" s="1"/>
      <c r="AO13" s="3">
        <v>15234.4</v>
      </c>
      <c r="AP13" s="19">
        <f t="shared" si="16"/>
        <v>423.15</v>
      </c>
      <c r="AQ13" s="4">
        <v>2.1866909361000001E-2</v>
      </c>
      <c r="AR13" s="10" t="e">
        <f t="shared" si="17"/>
        <v>#VALUE!</v>
      </c>
      <c r="AS13" s="1"/>
      <c r="AT13" s="3">
        <v>23808.5</v>
      </c>
      <c r="AU13" s="19">
        <f t="shared" si="18"/>
        <v>448.15</v>
      </c>
      <c r="AV13" s="4">
        <v>1.9032512939000001E-2</v>
      </c>
      <c r="AW13" s="10" t="e">
        <f t="shared" si="19"/>
        <v>#VALUE!</v>
      </c>
    </row>
    <row r="14" spans="1:49" x14ac:dyDescent="0.45">
      <c r="A14" s="3"/>
      <c r="B14" s="1"/>
      <c r="C14" s="4"/>
      <c r="D14" s="10"/>
      <c r="E14" s="1"/>
      <c r="F14" s="3">
        <v>1687.12</v>
      </c>
      <c r="G14" s="19">
        <f t="shared" si="4"/>
        <v>248.14999999999998</v>
      </c>
      <c r="H14" s="4">
        <v>0.16547035725000001</v>
      </c>
      <c r="I14" s="10" t="e">
        <f t="shared" si="0"/>
        <v>#VALUE!</v>
      </c>
      <c r="J14" s="1"/>
      <c r="K14" s="3">
        <v>648.08900000000006</v>
      </c>
      <c r="L14" s="19">
        <f t="shared" si="5"/>
        <v>273.14999999999998</v>
      </c>
      <c r="M14" s="4">
        <v>8.3050957550000012E-2</v>
      </c>
      <c r="N14" s="10" t="e">
        <f t="shared" si="1"/>
        <v>#VALUE!</v>
      </c>
      <c r="O14" s="1"/>
      <c r="P14" s="3">
        <v>149.45699999999999</v>
      </c>
      <c r="Q14" s="19">
        <f t="shared" si="6"/>
        <v>298.14999999999998</v>
      </c>
      <c r="R14" s="4">
        <v>2.4423024230000003E-2</v>
      </c>
      <c r="S14" s="10" t="e">
        <f t="shared" si="7"/>
        <v>#VALUE!</v>
      </c>
      <c r="T14" s="1"/>
      <c r="U14" s="3">
        <v>3192.68</v>
      </c>
      <c r="V14" s="19">
        <f t="shared" si="8"/>
        <v>323.14999999999998</v>
      </c>
      <c r="W14" s="4">
        <v>5.765088912E-2</v>
      </c>
      <c r="X14" s="10" t="e">
        <f t="shared" si="9"/>
        <v>#VALUE!</v>
      </c>
      <c r="Y14" s="1"/>
      <c r="Z14" s="3">
        <v>7086.23</v>
      </c>
      <c r="AA14" s="19">
        <f t="shared" si="10"/>
        <v>348.15</v>
      </c>
      <c r="AB14" s="4">
        <v>5.0151854829999995E-2</v>
      </c>
      <c r="AC14" s="10" t="e">
        <f t="shared" si="11"/>
        <v>#VALUE!</v>
      </c>
      <c r="AD14" s="1"/>
      <c r="AE14" s="3">
        <v>11433.3</v>
      </c>
      <c r="AF14" s="19">
        <f t="shared" si="12"/>
        <v>373.15</v>
      </c>
      <c r="AG14" s="4">
        <v>4.1445158699999998E-2</v>
      </c>
      <c r="AH14" s="10" t="e">
        <f t="shared" si="13"/>
        <v>#VALUE!</v>
      </c>
      <c r="AI14" s="1"/>
      <c r="AJ14" s="3">
        <v>16237.8</v>
      </c>
      <c r="AK14" s="19">
        <f t="shared" si="14"/>
        <v>398.15</v>
      </c>
      <c r="AL14" s="4">
        <v>3.2527121748000001E-2</v>
      </c>
      <c r="AM14" s="10" t="e">
        <f t="shared" si="15"/>
        <v>#VALUE!</v>
      </c>
      <c r="AN14" s="1"/>
      <c r="AO14" s="3">
        <v>20299.2</v>
      </c>
      <c r="AP14" s="19">
        <f t="shared" si="16"/>
        <v>423.15</v>
      </c>
      <c r="AQ14" s="4">
        <v>2.5532893628E-2</v>
      </c>
      <c r="AR14" s="10" t="e">
        <f t="shared" si="17"/>
        <v>#VALUE!</v>
      </c>
      <c r="AS14" s="1"/>
      <c r="AT14" s="3">
        <v>31723.8</v>
      </c>
      <c r="AU14" s="19">
        <f t="shared" si="18"/>
        <v>448.15</v>
      </c>
      <c r="AV14" s="4">
        <v>2.2610431194999999E-2</v>
      </c>
      <c r="AW14" s="10" t="e">
        <f t="shared" si="19"/>
        <v>#VALUE!</v>
      </c>
    </row>
    <row r="15" spans="1:49" x14ac:dyDescent="0.45">
      <c r="A15" s="3"/>
      <c r="B15" s="1"/>
      <c r="C15" s="4"/>
      <c r="D15" s="10"/>
      <c r="E15" s="1"/>
      <c r="F15" s="3">
        <v>6439.68</v>
      </c>
      <c r="G15" s="19">
        <f t="shared" si="4"/>
        <v>248.14999999999998</v>
      </c>
      <c r="H15" s="4">
        <v>0.19968626909000001</v>
      </c>
      <c r="I15" s="10" t="e">
        <f t="shared" si="0"/>
        <v>#VALUE!</v>
      </c>
      <c r="J15" s="1"/>
      <c r="K15" s="3">
        <v>1393.3</v>
      </c>
      <c r="L15" s="19">
        <f t="shared" si="5"/>
        <v>273.14999999999998</v>
      </c>
      <c r="M15" s="4">
        <v>0.10564400440000001</v>
      </c>
      <c r="N15" s="10" t="e">
        <f t="shared" si="1"/>
        <v>#VALUE!</v>
      </c>
      <c r="O15" s="1"/>
      <c r="P15" s="3">
        <v>233.572</v>
      </c>
      <c r="Q15" s="19">
        <f t="shared" si="6"/>
        <v>298.14999999999998</v>
      </c>
      <c r="R15" s="4">
        <v>3.2174241549999996E-2</v>
      </c>
      <c r="S15" s="10" t="e">
        <f t="shared" si="7"/>
        <v>#VALUE!</v>
      </c>
      <c r="T15" s="1"/>
      <c r="U15" s="3">
        <v>5852.12</v>
      </c>
      <c r="V15" s="19">
        <f t="shared" si="8"/>
        <v>323.14999999999998</v>
      </c>
      <c r="W15" s="4">
        <v>7.2095739430000014E-2</v>
      </c>
      <c r="X15" s="10" t="e">
        <f t="shared" si="9"/>
        <v>#VALUE!</v>
      </c>
      <c r="Y15" s="1"/>
      <c r="Z15" s="3">
        <v>11074.4</v>
      </c>
      <c r="AA15" s="19">
        <f t="shared" si="10"/>
        <v>348.15</v>
      </c>
      <c r="AB15" s="4">
        <v>6.1658970889999998E-2</v>
      </c>
      <c r="AC15" s="10" t="e">
        <f t="shared" si="11"/>
        <v>#VALUE!</v>
      </c>
      <c r="AD15" s="1"/>
      <c r="AE15" s="3">
        <v>17307.2</v>
      </c>
      <c r="AF15" s="19">
        <f t="shared" si="12"/>
        <v>373.15</v>
      </c>
      <c r="AG15" s="4">
        <v>5.0084517999999995E-2</v>
      </c>
      <c r="AH15" s="10" t="e">
        <f t="shared" si="13"/>
        <v>#VALUE!</v>
      </c>
      <c r="AI15" s="1"/>
      <c r="AJ15" s="3">
        <v>22337.3</v>
      </c>
      <c r="AK15" s="19">
        <f t="shared" si="14"/>
        <v>398.15</v>
      </c>
      <c r="AL15" s="4">
        <v>3.8640029593000003E-2</v>
      </c>
      <c r="AM15" s="10" t="e">
        <f t="shared" si="15"/>
        <v>#VALUE!</v>
      </c>
      <c r="AN15" s="1"/>
      <c r="AO15" s="3">
        <v>27047.9</v>
      </c>
      <c r="AP15" s="19">
        <f t="shared" si="16"/>
        <v>423.15</v>
      </c>
      <c r="AQ15" s="4">
        <v>2.9813491509999998E-2</v>
      </c>
      <c r="AR15" s="10" t="e">
        <f t="shared" si="17"/>
        <v>#VALUE!</v>
      </c>
      <c r="AS15" s="1"/>
      <c r="AT15" s="3">
        <v>40943.800000000003</v>
      </c>
      <c r="AU15" s="19">
        <f t="shared" si="18"/>
        <v>448.15</v>
      </c>
      <c r="AV15" s="4">
        <v>2.8290666899000002E-2</v>
      </c>
      <c r="AW15" s="10" t="e">
        <f t="shared" si="19"/>
        <v>#VALUE!</v>
      </c>
    </row>
    <row r="16" spans="1:49" x14ac:dyDescent="0.45">
      <c r="A16" s="3"/>
      <c r="B16" s="1"/>
      <c r="C16" s="4"/>
      <c r="D16" s="10"/>
      <c r="E16" s="1"/>
      <c r="F16" s="3"/>
      <c r="G16" s="19"/>
      <c r="H16" s="4"/>
      <c r="I16" s="10"/>
      <c r="J16" s="1"/>
      <c r="K16" s="3">
        <v>2722.09</v>
      </c>
      <c r="L16" s="19">
        <f t="shared" si="5"/>
        <v>273.14999999999998</v>
      </c>
      <c r="M16" s="4">
        <v>0.12983993187000001</v>
      </c>
      <c r="N16" s="10" t="e">
        <f t="shared" si="1"/>
        <v>#VALUE!</v>
      </c>
      <c r="O16" s="1"/>
      <c r="P16" s="3">
        <v>401.678</v>
      </c>
      <c r="Q16" s="19">
        <f t="shared" si="6"/>
        <v>298.14999999999998</v>
      </c>
      <c r="R16" s="4">
        <v>3.8208105639000005E-2</v>
      </c>
      <c r="S16" s="10" t="e">
        <f t="shared" si="7"/>
        <v>#VALUE!</v>
      </c>
      <c r="T16" s="1"/>
      <c r="U16" s="3">
        <v>9748.09</v>
      </c>
      <c r="V16" s="19">
        <f t="shared" si="8"/>
        <v>323.14999999999998</v>
      </c>
      <c r="W16" s="4">
        <v>8.7111852520000005E-2</v>
      </c>
      <c r="X16" s="10" t="e">
        <f t="shared" si="9"/>
        <v>#VALUE!</v>
      </c>
      <c r="Y16" s="1"/>
      <c r="Z16" s="3">
        <v>16237.8</v>
      </c>
      <c r="AA16" s="19">
        <f t="shared" si="10"/>
        <v>348.15</v>
      </c>
      <c r="AB16" s="4">
        <v>7.3239585320000009E-2</v>
      </c>
      <c r="AC16" s="10" t="e">
        <f t="shared" si="11"/>
        <v>#VALUE!</v>
      </c>
      <c r="AD16" s="1"/>
      <c r="AE16" s="3">
        <v>23808.5</v>
      </c>
      <c r="AF16" s="19">
        <f t="shared" si="12"/>
        <v>373.15</v>
      </c>
      <c r="AG16" s="4">
        <v>5.9497150570000004E-2</v>
      </c>
      <c r="AH16" s="10" t="e">
        <f t="shared" si="13"/>
        <v>#VALUE!</v>
      </c>
      <c r="AI16" s="1"/>
      <c r="AJ16" s="3">
        <v>31723.8</v>
      </c>
      <c r="AK16" s="19">
        <f t="shared" si="14"/>
        <v>398.15</v>
      </c>
      <c r="AL16" s="4">
        <v>4.6699191879999997E-2</v>
      </c>
      <c r="AM16" s="10" t="e">
        <f t="shared" si="15"/>
        <v>#VALUE!</v>
      </c>
      <c r="AN16" s="1"/>
      <c r="AO16" s="3">
        <v>36040.199999999997</v>
      </c>
      <c r="AP16" s="19">
        <f t="shared" si="16"/>
        <v>423.15</v>
      </c>
      <c r="AQ16" s="4">
        <v>3.8612346674E-2</v>
      </c>
      <c r="AR16" s="10" t="e">
        <f t="shared" si="17"/>
        <v>#VALUE!</v>
      </c>
      <c r="AS16" s="1"/>
      <c r="AT16" s="3">
        <v>52843.5</v>
      </c>
      <c r="AU16" s="19">
        <f t="shared" si="18"/>
        <v>448.15</v>
      </c>
      <c r="AV16" s="4">
        <v>3.0302365697999999E-2</v>
      </c>
      <c r="AW16" s="10" t="e">
        <f t="shared" si="19"/>
        <v>#VALUE!</v>
      </c>
    </row>
    <row r="17" spans="1:49" x14ac:dyDescent="0.45">
      <c r="A17" s="3"/>
      <c r="B17" s="1"/>
      <c r="C17" s="4"/>
      <c r="D17" s="10"/>
      <c r="E17" s="1"/>
      <c r="F17" s="3"/>
      <c r="G17" s="19"/>
      <c r="H17" s="4"/>
      <c r="I17" s="10"/>
      <c r="J17" s="1"/>
      <c r="K17" s="3">
        <v>6237.55</v>
      </c>
      <c r="L17" s="19">
        <f t="shared" si="5"/>
        <v>273.14999999999998</v>
      </c>
      <c r="M17" s="4">
        <v>0.15953987500000003</v>
      </c>
      <c r="N17" s="10" t="e">
        <f t="shared" si="1"/>
        <v>#VALUE!</v>
      </c>
      <c r="O17" s="1"/>
      <c r="P17" s="3">
        <v>414.69499999999999</v>
      </c>
      <c r="Q17" s="19">
        <f t="shared" si="6"/>
        <v>298.14999999999998</v>
      </c>
      <c r="R17" s="4">
        <v>4.0938768133999999E-2</v>
      </c>
      <c r="S17" s="10" t="e">
        <f t="shared" si="7"/>
        <v>#VALUE!</v>
      </c>
      <c r="T17" s="1"/>
      <c r="U17" s="3">
        <v>15234.4</v>
      </c>
      <c r="V17" s="19">
        <f t="shared" si="8"/>
        <v>323.14999999999998</v>
      </c>
      <c r="W17" s="4">
        <v>0.10346325935</v>
      </c>
      <c r="X17" s="10" t="e">
        <f t="shared" si="9"/>
        <v>#VALUE!</v>
      </c>
      <c r="Y17" s="1"/>
      <c r="Z17" s="3">
        <v>23808.5</v>
      </c>
      <c r="AA17" s="19">
        <f t="shared" si="10"/>
        <v>348.15</v>
      </c>
      <c r="AB17" s="4">
        <v>8.5505891130000011E-2</v>
      </c>
      <c r="AC17" s="10" t="e">
        <f t="shared" si="11"/>
        <v>#VALUE!</v>
      </c>
      <c r="AD17" s="1"/>
      <c r="AE17" s="3">
        <v>32751.8</v>
      </c>
      <c r="AF17" s="19">
        <f t="shared" si="12"/>
        <v>373.15</v>
      </c>
      <c r="AG17" s="4">
        <v>6.8279105510000007E-2</v>
      </c>
      <c r="AH17" s="10" t="e">
        <f t="shared" si="13"/>
        <v>#VALUE!</v>
      </c>
      <c r="AI17" s="1"/>
      <c r="AJ17" s="3">
        <v>40943.800000000003</v>
      </c>
      <c r="AK17" s="19">
        <f t="shared" si="14"/>
        <v>398.15</v>
      </c>
      <c r="AL17" s="4">
        <v>5.359747602E-2</v>
      </c>
      <c r="AM17" s="10" t="e">
        <f t="shared" si="15"/>
        <v>#VALUE!</v>
      </c>
      <c r="AN17" s="1"/>
      <c r="AO17" s="3">
        <v>48022</v>
      </c>
      <c r="AP17" s="19">
        <f t="shared" si="16"/>
        <v>423.15</v>
      </c>
      <c r="AQ17" s="4">
        <v>4.2809411678000002E-2</v>
      </c>
      <c r="AR17" s="10" t="e">
        <f t="shared" si="17"/>
        <v>#VALUE!</v>
      </c>
      <c r="AS17" s="1"/>
      <c r="AT17" s="3">
        <v>70411.8</v>
      </c>
      <c r="AU17" s="19">
        <f t="shared" si="18"/>
        <v>448.15</v>
      </c>
      <c r="AV17" s="4">
        <v>3.6626042221999999E-2</v>
      </c>
      <c r="AW17" s="10" t="e">
        <f t="shared" si="19"/>
        <v>#VALUE!</v>
      </c>
    </row>
    <row r="18" spans="1:49" x14ac:dyDescent="0.45">
      <c r="A18" s="3"/>
      <c r="B18" s="1"/>
      <c r="C18" s="4"/>
      <c r="D18" s="10"/>
      <c r="E18" s="1"/>
      <c r="F18" s="3"/>
      <c r="G18" s="19"/>
      <c r="H18" s="4"/>
      <c r="I18" s="10"/>
      <c r="J18" s="1"/>
      <c r="K18" s="3">
        <v>15234.4</v>
      </c>
      <c r="L18" s="19">
        <f t="shared" si="5"/>
        <v>273.14999999999998</v>
      </c>
      <c r="M18" s="4">
        <v>0.18611723768000002</v>
      </c>
      <c r="N18" s="10" t="e">
        <f t="shared" si="1"/>
        <v>#VALUE!</v>
      </c>
      <c r="O18" s="1"/>
      <c r="P18" s="3">
        <v>669.09</v>
      </c>
      <c r="Q18" s="19">
        <f t="shared" si="6"/>
        <v>298.14999999999998</v>
      </c>
      <c r="R18" s="4">
        <v>5.032965927E-2</v>
      </c>
      <c r="S18" s="10" t="e">
        <f t="shared" si="7"/>
        <v>#VALUE!</v>
      </c>
      <c r="T18" s="1"/>
      <c r="U18" s="3">
        <v>23808.5</v>
      </c>
      <c r="V18" s="19">
        <f t="shared" si="8"/>
        <v>323.14999999999998</v>
      </c>
      <c r="W18" s="4">
        <v>0.12078026752000001</v>
      </c>
      <c r="X18" s="10" t="e">
        <f t="shared" si="9"/>
        <v>#VALUE!</v>
      </c>
      <c r="Y18" s="1"/>
      <c r="Z18" s="3">
        <v>34908.9</v>
      </c>
      <c r="AA18" s="19">
        <f t="shared" si="10"/>
        <v>348.15</v>
      </c>
      <c r="AB18" s="4">
        <v>9.8117683290000007E-2</v>
      </c>
      <c r="AC18" s="10" t="e">
        <f t="shared" si="11"/>
        <v>#VALUE!</v>
      </c>
      <c r="AD18" s="1"/>
      <c r="AE18" s="3">
        <v>46514.7</v>
      </c>
      <c r="AF18" s="19">
        <f t="shared" si="12"/>
        <v>373.15</v>
      </c>
      <c r="AG18" s="4">
        <v>8.1107431790000004E-2</v>
      </c>
      <c r="AH18" s="10" t="e">
        <f t="shared" si="13"/>
        <v>#VALUE!</v>
      </c>
      <c r="AI18" s="1"/>
      <c r="AJ18" s="3">
        <v>52843.5</v>
      </c>
      <c r="AK18" s="19">
        <f t="shared" si="14"/>
        <v>398.15</v>
      </c>
      <c r="AL18" s="4">
        <v>6.2585842550000007E-2</v>
      </c>
      <c r="AM18" s="10" t="e">
        <f t="shared" si="15"/>
        <v>#VALUE!</v>
      </c>
      <c r="AN18" s="1"/>
      <c r="AO18" s="3">
        <v>63987.4</v>
      </c>
      <c r="AP18" s="19">
        <f t="shared" si="16"/>
        <v>423.15</v>
      </c>
      <c r="AQ18" s="4">
        <v>4.746278273E-2</v>
      </c>
      <c r="AR18" s="10" t="e">
        <f t="shared" si="17"/>
        <v>#VALUE!</v>
      </c>
      <c r="AS18" s="1"/>
      <c r="AT18" s="3">
        <v>90875.9</v>
      </c>
      <c r="AU18" s="19">
        <f t="shared" si="18"/>
        <v>448.15</v>
      </c>
      <c r="AV18" s="4">
        <v>4.2768437437000005E-2</v>
      </c>
      <c r="AW18" s="10" t="e">
        <f t="shared" si="19"/>
        <v>#VALUE!</v>
      </c>
    </row>
    <row r="19" spans="1:49" x14ac:dyDescent="0.45">
      <c r="A19" s="3"/>
      <c r="B19" s="1"/>
      <c r="C19" s="4"/>
      <c r="D19" s="10"/>
      <c r="E19" s="1"/>
      <c r="F19" s="3"/>
      <c r="G19" s="19"/>
      <c r="H19" s="4"/>
      <c r="I19" s="10"/>
      <c r="J19" s="1"/>
      <c r="K19" s="3">
        <v>27924.400000000001</v>
      </c>
      <c r="L19" s="19">
        <f t="shared" si="5"/>
        <v>273.14999999999998</v>
      </c>
      <c r="M19" s="4">
        <v>0.19924703931000001</v>
      </c>
      <c r="N19" s="10" t="e">
        <f t="shared" si="1"/>
        <v>#VALUE!</v>
      </c>
      <c r="O19" s="1"/>
      <c r="P19" s="3">
        <v>836.44600000000003</v>
      </c>
      <c r="Q19" s="19">
        <f t="shared" si="6"/>
        <v>298.14999999999998</v>
      </c>
      <c r="R19" s="4">
        <v>5.0312494980000004E-2</v>
      </c>
      <c r="S19" s="10" t="e">
        <f t="shared" si="7"/>
        <v>#VALUE!</v>
      </c>
      <c r="T19" s="1"/>
      <c r="U19" s="3">
        <v>37208.1</v>
      </c>
      <c r="V19" s="19">
        <f t="shared" si="8"/>
        <v>323.14999999999998</v>
      </c>
      <c r="W19" s="4">
        <v>0.13858139669000002</v>
      </c>
      <c r="X19" s="10" t="e">
        <f t="shared" si="9"/>
        <v>#VALUE!</v>
      </c>
      <c r="Y19" s="1"/>
      <c r="Z19" s="3">
        <v>49578.2</v>
      </c>
      <c r="AA19" s="19">
        <f t="shared" si="10"/>
        <v>348.15</v>
      </c>
      <c r="AB19" s="4">
        <v>0.1145562319</v>
      </c>
      <c r="AC19" s="10" t="e">
        <f t="shared" si="11"/>
        <v>#VALUE!</v>
      </c>
      <c r="AD19" s="1"/>
      <c r="AE19" s="3">
        <v>61978.9</v>
      </c>
      <c r="AF19" s="19">
        <f t="shared" si="12"/>
        <v>373.15</v>
      </c>
      <c r="AG19" s="4">
        <v>9.1489626690000006E-2</v>
      </c>
      <c r="AH19" s="10" t="e">
        <f t="shared" si="13"/>
        <v>#VALUE!</v>
      </c>
      <c r="AI19" s="1"/>
      <c r="AJ19" s="3">
        <v>75049.2</v>
      </c>
      <c r="AK19" s="19">
        <f t="shared" si="14"/>
        <v>398.15</v>
      </c>
      <c r="AL19" s="4">
        <v>7.059100334E-2</v>
      </c>
      <c r="AM19" s="10" t="e">
        <f t="shared" si="15"/>
        <v>#VALUE!</v>
      </c>
      <c r="AN19" s="1"/>
      <c r="AO19" s="3">
        <v>82584.3</v>
      </c>
      <c r="AP19" s="19">
        <f t="shared" si="16"/>
        <v>423.15</v>
      </c>
      <c r="AQ19" s="4">
        <v>5.3541141940000002E-2</v>
      </c>
      <c r="AR19" s="10" t="e">
        <f t="shared" si="17"/>
        <v>#VALUE!</v>
      </c>
      <c r="AS19" s="1"/>
      <c r="AT19" s="3"/>
      <c r="AU19" s="15"/>
      <c r="AV19" s="4"/>
      <c r="AW19" s="10"/>
    </row>
    <row r="20" spans="1:49" x14ac:dyDescent="0.45">
      <c r="A20" s="3"/>
      <c r="B20" s="1"/>
      <c r="C20" s="4"/>
      <c r="D20" s="10"/>
      <c r="E20" s="1"/>
      <c r="F20" s="3"/>
      <c r="G20" s="19"/>
      <c r="H20" s="4"/>
      <c r="I20" s="10"/>
      <c r="J20" s="1"/>
      <c r="K20" s="3"/>
      <c r="L20" s="19"/>
      <c r="M20" s="4"/>
      <c r="N20" s="10"/>
      <c r="O20" s="1"/>
      <c r="P20" s="3">
        <v>1266.17</v>
      </c>
      <c r="Q20" s="19">
        <f t="shared" si="6"/>
        <v>298.14999999999998</v>
      </c>
      <c r="R20" s="4">
        <v>5.7730989140000001E-2</v>
      </c>
      <c r="S20" s="10" t="e">
        <f t="shared" si="7"/>
        <v>#VALUE!</v>
      </c>
      <c r="T20" s="1"/>
      <c r="U20" s="3">
        <v>56323.9</v>
      </c>
      <c r="V20" s="19">
        <f t="shared" si="8"/>
        <v>323.14999999999998</v>
      </c>
      <c r="W20" s="4">
        <v>0.14840025078999999</v>
      </c>
      <c r="X20" s="10" t="e">
        <f t="shared" si="9"/>
        <v>#VALUE!</v>
      </c>
      <c r="Y20" s="1"/>
      <c r="Z20" s="3">
        <v>66060.899999999994</v>
      </c>
      <c r="AA20" s="19">
        <f t="shared" si="10"/>
        <v>348.15</v>
      </c>
      <c r="AB20" s="4">
        <v>0.12269606635000001</v>
      </c>
      <c r="AC20" s="10" t="e">
        <f t="shared" si="11"/>
        <v>#VALUE!</v>
      </c>
      <c r="AD20" s="1"/>
      <c r="AE20" s="3">
        <v>82584.3</v>
      </c>
      <c r="AF20" s="19">
        <f t="shared" si="12"/>
        <v>373.15</v>
      </c>
      <c r="AG20" s="4">
        <v>9.6313232290000009E-2</v>
      </c>
      <c r="AH20" s="10" t="e">
        <f t="shared" si="13"/>
        <v>#VALUE!</v>
      </c>
      <c r="AI20" s="1"/>
      <c r="AJ20" s="3">
        <v>90875.9</v>
      </c>
      <c r="AK20" s="19">
        <f t="shared" si="14"/>
        <v>398.15</v>
      </c>
      <c r="AL20" s="4">
        <v>7.6934748880000015E-2</v>
      </c>
      <c r="AM20" s="10" t="e">
        <f t="shared" si="15"/>
        <v>#VALUE!</v>
      </c>
      <c r="AN20" s="1"/>
      <c r="AO20" s="3"/>
      <c r="AP20" s="15"/>
      <c r="AQ20" s="4"/>
      <c r="AR20" s="10"/>
      <c r="AS20" s="1"/>
      <c r="AT20" s="3"/>
      <c r="AU20" s="15"/>
      <c r="AV20" s="4"/>
      <c r="AW20" s="10"/>
    </row>
    <row r="21" spans="1:49" x14ac:dyDescent="0.45">
      <c r="A21" s="3"/>
      <c r="B21" s="1"/>
      <c r="C21" s="4"/>
      <c r="D21" s="10"/>
      <c r="E21" s="1"/>
      <c r="F21" s="3"/>
      <c r="G21" s="19"/>
      <c r="H21" s="4"/>
      <c r="I21" s="10"/>
      <c r="J21" s="1"/>
      <c r="K21" s="3"/>
      <c r="L21" s="19"/>
      <c r="M21" s="4"/>
      <c r="N21" s="10"/>
      <c r="O21" s="1"/>
      <c r="P21" s="3">
        <v>2553.89</v>
      </c>
      <c r="Q21" s="19">
        <f t="shared" si="6"/>
        <v>298.14999999999998</v>
      </c>
      <c r="R21" s="4">
        <v>8.006657164E-2</v>
      </c>
      <c r="S21" s="10" t="e">
        <f t="shared" si="7"/>
        <v>#VALUE!</v>
      </c>
      <c r="T21" s="1"/>
      <c r="U21" s="3"/>
      <c r="V21" s="15"/>
      <c r="W21" s="4"/>
      <c r="X21" s="10"/>
      <c r="Y21" s="1"/>
      <c r="Z21" s="3"/>
      <c r="AA21" s="15"/>
      <c r="AB21" s="4"/>
      <c r="AC21" s="10"/>
      <c r="AD21" s="1"/>
      <c r="AE21" s="3"/>
      <c r="AF21" s="15"/>
      <c r="AG21" s="4"/>
      <c r="AH21" s="10"/>
      <c r="AI21" s="1"/>
      <c r="AJ21" s="3"/>
      <c r="AK21" s="15"/>
      <c r="AL21" s="4"/>
      <c r="AM21" s="10"/>
      <c r="AN21" s="1"/>
      <c r="AO21" s="3"/>
      <c r="AP21" s="15"/>
      <c r="AQ21" s="4"/>
      <c r="AR21" s="10"/>
      <c r="AS21" s="1"/>
      <c r="AT21" s="3"/>
      <c r="AU21" s="15"/>
      <c r="AV21" s="4"/>
      <c r="AW21" s="10"/>
    </row>
    <row r="22" spans="1:49" x14ac:dyDescent="0.45">
      <c r="A22" s="3"/>
      <c r="B22" s="1"/>
      <c r="C22" s="4"/>
      <c r="D22" s="10"/>
      <c r="E22" s="1"/>
      <c r="F22" s="3"/>
      <c r="G22" s="19"/>
      <c r="H22" s="4"/>
      <c r="I22" s="10"/>
      <c r="J22" s="1"/>
      <c r="K22" s="3"/>
      <c r="L22" s="19"/>
      <c r="M22" s="4"/>
      <c r="N22" s="10"/>
      <c r="O22" s="1"/>
      <c r="P22" s="3">
        <v>4120.58</v>
      </c>
      <c r="Q22" s="19">
        <f t="shared" si="6"/>
        <v>298.14999999999998</v>
      </c>
      <c r="R22" s="4">
        <v>0.10014703050000001</v>
      </c>
      <c r="S22" s="10" t="e">
        <f t="shared" si="7"/>
        <v>#VALUE!</v>
      </c>
      <c r="T22" s="1"/>
      <c r="U22" s="3"/>
      <c r="V22" s="15"/>
      <c r="W22" s="4"/>
      <c r="X22" s="10"/>
      <c r="Y22" s="1"/>
      <c r="Z22" s="3"/>
      <c r="AA22" s="15"/>
      <c r="AB22" s="4"/>
      <c r="AC22" s="10"/>
      <c r="AD22" s="1"/>
      <c r="AE22" s="3"/>
      <c r="AF22" s="15"/>
      <c r="AG22" s="4"/>
      <c r="AH22" s="10"/>
      <c r="AI22" s="1"/>
      <c r="AJ22" s="3"/>
      <c r="AK22" s="15"/>
      <c r="AL22" s="4"/>
      <c r="AM22" s="10"/>
      <c r="AN22" s="1"/>
      <c r="AO22" s="3"/>
      <c r="AP22" s="15"/>
      <c r="AQ22" s="4"/>
      <c r="AR22" s="10"/>
      <c r="AS22" s="1"/>
      <c r="AT22" s="3"/>
      <c r="AU22" s="15"/>
      <c r="AV22" s="4"/>
      <c r="AW22" s="10"/>
    </row>
    <row r="23" spans="1:49" x14ac:dyDescent="0.45">
      <c r="A23" s="3"/>
      <c r="B23" s="1"/>
      <c r="C23" s="4"/>
      <c r="D23" s="10"/>
      <c r="E23" s="1"/>
      <c r="F23" s="3"/>
      <c r="G23" s="19"/>
      <c r="H23" s="4"/>
      <c r="I23" s="10"/>
      <c r="J23" s="1"/>
      <c r="K23" s="3"/>
      <c r="L23" s="19"/>
      <c r="M23" s="4"/>
      <c r="N23" s="10"/>
      <c r="O23" s="1"/>
      <c r="P23" s="3">
        <v>4254.1099999999997</v>
      </c>
      <c r="Q23" s="19">
        <f t="shared" si="6"/>
        <v>298.14999999999998</v>
      </c>
      <c r="R23" s="4">
        <v>9.1858438870000003E-2</v>
      </c>
      <c r="S23" s="10" t="e">
        <f t="shared" si="7"/>
        <v>#VALUE!</v>
      </c>
      <c r="T23" s="1"/>
      <c r="U23" s="3"/>
      <c r="V23" s="15"/>
      <c r="W23" s="4"/>
      <c r="X23" s="10"/>
      <c r="Y23" s="1"/>
      <c r="Z23" s="3"/>
      <c r="AA23" s="15"/>
      <c r="AB23" s="4"/>
      <c r="AC23" s="10"/>
      <c r="AD23" s="1"/>
      <c r="AE23" s="3"/>
      <c r="AF23" s="15"/>
      <c r="AG23" s="4"/>
      <c r="AH23" s="10"/>
      <c r="AI23" s="1"/>
      <c r="AJ23" s="3"/>
      <c r="AK23" s="15"/>
      <c r="AL23" s="4"/>
      <c r="AM23" s="10"/>
      <c r="AN23" s="1"/>
      <c r="AO23" s="3"/>
      <c r="AP23" s="15"/>
      <c r="AQ23" s="4"/>
      <c r="AR23" s="10"/>
      <c r="AS23" s="1"/>
      <c r="AT23" s="3"/>
      <c r="AU23" s="15"/>
      <c r="AV23" s="4"/>
      <c r="AW23" s="10"/>
    </row>
    <row r="24" spans="1:49" x14ac:dyDescent="0.45">
      <c r="A24" s="3"/>
      <c r="B24" s="1"/>
      <c r="C24" s="4"/>
      <c r="D24" s="10"/>
      <c r="E24" s="1"/>
      <c r="F24" s="3"/>
      <c r="G24" s="19"/>
      <c r="H24" s="4"/>
      <c r="I24" s="10"/>
      <c r="J24" s="1"/>
      <c r="K24" s="3"/>
      <c r="L24" s="19"/>
      <c r="M24" s="4"/>
      <c r="N24" s="10"/>
      <c r="O24" s="1"/>
      <c r="P24" s="3">
        <v>7797.7</v>
      </c>
      <c r="Q24" s="19">
        <f t="shared" si="6"/>
        <v>298.14999999999998</v>
      </c>
      <c r="R24" s="4">
        <v>0.11687561160000001</v>
      </c>
      <c r="S24" s="10" t="e">
        <f t="shared" si="7"/>
        <v>#VALUE!</v>
      </c>
      <c r="T24" s="1"/>
      <c r="U24" s="3"/>
      <c r="V24" s="15"/>
      <c r="W24" s="4"/>
      <c r="X24" s="10"/>
      <c r="Y24" s="1"/>
      <c r="Z24" s="3"/>
      <c r="AA24" s="15"/>
      <c r="AB24" s="4"/>
      <c r="AC24" s="10"/>
      <c r="AD24" s="1"/>
      <c r="AE24" s="3"/>
      <c r="AF24" s="15"/>
      <c r="AG24" s="4"/>
      <c r="AH24" s="10"/>
      <c r="AI24" s="1"/>
      <c r="AJ24" s="3"/>
      <c r="AK24" s="15"/>
      <c r="AL24" s="4"/>
      <c r="AM24" s="10"/>
      <c r="AN24" s="1"/>
      <c r="AO24" s="3"/>
      <c r="AP24" s="15"/>
      <c r="AQ24" s="4"/>
      <c r="AR24" s="10"/>
      <c r="AS24" s="1"/>
      <c r="AT24" s="3"/>
      <c r="AU24" s="15"/>
      <c r="AV24" s="4"/>
      <c r="AW24" s="10"/>
    </row>
    <row r="25" spans="1:49" x14ac:dyDescent="0.45">
      <c r="A25" s="3"/>
      <c r="B25" s="1"/>
      <c r="C25" s="4"/>
      <c r="D25" s="10"/>
      <c r="E25" s="1"/>
      <c r="F25" s="3"/>
      <c r="G25" s="19"/>
      <c r="H25" s="4"/>
      <c r="I25" s="10"/>
      <c r="J25" s="1"/>
      <c r="K25" s="3"/>
      <c r="L25" s="19"/>
      <c r="M25" s="4"/>
      <c r="N25" s="10"/>
      <c r="O25" s="1"/>
      <c r="P25" s="3">
        <v>9145.74</v>
      </c>
      <c r="Q25" s="19">
        <f t="shared" si="6"/>
        <v>298.14999999999998</v>
      </c>
      <c r="R25" s="4">
        <v>0.11888295331000003</v>
      </c>
      <c r="S25" s="10" t="e">
        <f t="shared" si="7"/>
        <v>#VALUE!</v>
      </c>
      <c r="T25" s="1"/>
      <c r="U25" s="3"/>
      <c r="V25" s="15"/>
      <c r="W25" s="4"/>
      <c r="X25" s="10"/>
      <c r="Y25" s="1"/>
      <c r="Z25" s="3"/>
      <c r="AA25" s="15"/>
      <c r="AB25" s="4"/>
      <c r="AC25" s="10"/>
      <c r="AD25" s="1"/>
      <c r="AE25" s="3"/>
      <c r="AF25" s="15"/>
      <c r="AG25" s="4"/>
      <c r="AH25" s="10"/>
      <c r="AI25" s="1"/>
      <c r="AJ25" s="3"/>
      <c r="AK25" s="15"/>
      <c r="AL25" s="4"/>
      <c r="AM25" s="10"/>
      <c r="AN25" s="1"/>
      <c r="AO25" s="3"/>
      <c r="AP25" s="15"/>
      <c r="AQ25" s="4"/>
      <c r="AR25" s="10"/>
      <c r="AS25" s="1"/>
      <c r="AT25" s="3"/>
      <c r="AU25" s="15"/>
      <c r="AV25" s="4"/>
      <c r="AW25" s="10"/>
    </row>
    <row r="26" spans="1:49" x14ac:dyDescent="0.45">
      <c r="A26" s="3"/>
      <c r="B26" s="1"/>
      <c r="C26" s="4"/>
      <c r="D26" s="10"/>
      <c r="E26" s="1"/>
      <c r="F26" s="3"/>
      <c r="G26" s="19"/>
      <c r="H26" s="4"/>
      <c r="I26" s="10"/>
      <c r="J26" s="1"/>
      <c r="K26" s="3"/>
      <c r="L26" s="19"/>
      <c r="M26" s="4"/>
      <c r="N26" s="10"/>
      <c r="O26" s="1"/>
      <c r="P26" s="3">
        <v>14756.2</v>
      </c>
      <c r="Q26" s="19">
        <f t="shared" si="6"/>
        <v>298.14999999999998</v>
      </c>
      <c r="R26" s="4">
        <v>0.14119124898999999</v>
      </c>
      <c r="S26" s="10" t="e">
        <f t="shared" si="7"/>
        <v>#VALUE!</v>
      </c>
      <c r="T26" s="1"/>
      <c r="U26" s="3"/>
      <c r="V26" s="15"/>
      <c r="W26" s="4"/>
      <c r="X26" s="10"/>
      <c r="Y26" s="1"/>
      <c r="Z26" s="3"/>
      <c r="AA26" s="15"/>
      <c r="AB26" s="4"/>
      <c r="AC26" s="10"/>
      <c r="AD26" s="1"/>
      <c r="AE26" s="3"/>
      <c r="AF26" s="15"/>
      <c r="AG26" s="4"/>
      <c r="AH26" s="10"/>
      <c r="AI26" s="1"/>
      <c r="AJ26" s="3"/>
      <c r="AK26" s="15"/>
      <c r="AL26" s="4"/>
      <c r="AM26" s="10"/>
      <c r="AN26" s="1"/>
      <c r="AO26" s="3"/>
      <c r="AP26" s="15"/>
      <c r="AQ26" s="4"/>
      <c r="AR26" s="10"/>
      <c r="AS26" s="1"/>
      <c r="AT26" s="3"/>
      <c r="AU26" s="15"/>
      <c r="AV26" s="4"/>
      <c r="AW26" s="10"/>
    </row>
    <row r="27" spans="1:49" x14ac:dyDescent="0.45">
      <c r="A27" s="3"/>
      <c r="B27" s="1"/>
      <c r="C27" s="4"/>
      <c r="D27" s="10"/>
      <c r="E27" s="1"/>
      <c r="F27" s="3"/>
      <c r="G27" s="19"/>
      <c r="H27" s="4"/>
      <c r="I27" s="10"/>
      <c r="J27" s="1"/>
      <c r="K27" s="3"/>
      <c r="L27" s="19"/>
      <c r="M27" s="4"/>
      <c r="N27" s="10"/>
      <c r="O27" s="1"/>
      <c r="P27" s="3">
        <v>16237.8</v>
      </c>
      <c r="Q27" s="19">
        <f t="shared" si="6"/>
        <v>298.14999999999998</v>
      </c>
      <c r="R27" s="4">
        <v>0.14117100393000001</v>
      </c>
      <c r="S27" s="10" t="e">
        <f t="shared" si="7"/>
        <v>#VALUE!</v>
      </c>
      <c r="T27" s="1"/>
      <c r="U27" s="3"/>
      <c r="V27" s="15"/>
      <c r="W27" s="4"/>
      <c r="X27" s="10"/>
      <c r="Y27" s="1"/>
      <c r="Z27" s="3"/>
      <c r="AA27" s="15"/>
      <c r="AB27" s="4"/>
      <c r="AC27" s="10"/>
      <c r="AD27" s="1"/>
      <c r="AE27" s="3"/>
      <c r="AF27" s="15"/>
      <c r="AG27" s="4"/>
      <c r="AH27" s="10"/>
      <c r="AI27" s="1"/>
      <c r="AJ27" s="3"/>
      <c r="AK27" s="15"/>
      <c r="AL27" s="4"/>
      <c r="AM27" s="10"/>
      <c r="AN27" s="1"/>
      <c r="AO27" s="3"/>
      <c r="AP27" s="15"/>
      <c r="AQ27" s="4"/>
      <c r="AR27" s="10"/>
      <c r="AS27" s="1"/>
      <c r="AT27" s="3"/>
      <c r="AU27" s="15"/>
      <c r="AV27" s="4"/>
      <c r="AW27" s="10"/>
    </row>
    <row r="28" spans="1:49" x14ac:dyDescent="0.45">
      <c r="A28" s="3"/>
      <c r="B28" s="1"/>
      <c r="C28" s="4"/>
      <c r="D28" s="10"/>
      <c r="E28" s="1"/>
      <c r="F28" s="3"/>
      <c r="G28" s="19"/>
      <c r="H28" s="4"/>
      <c r="I28" s="10"/>
      <c r="J28" s="1"/>
      <c r="K28" s="3"/>
      <c r="L28" s="19"/>
      <c r="M28" s="4"/>
      <c r="N28" s="10"/>
      <c r="O28" s="1"/>
      <c r="P28" s="3">
        <v>25376.5</v>
      </c>
      <c r="Q28" s="19">
        <f t="shared" si="6"/>
        <v>298.14999999999998</v>
      </c>
      <c r="R28" s="4">
        <v>0.16197764429</v>
      </c>
      <c r="S28" s="10" t="e">
        <f t="shared" si="7"/>
        <v>#VALUE!</v>
      </c>
      <c r="T28" s="1"/>
      <c r="U28" s="3"/>
      <c r="V28" s="15"/>
      <c r="W28" s="4"/>
      <c r="X28" s="10"/>
      <c r="Y28" s="1"/>
      <c r="Z28" s="3"/>
      <c r="AA28" s="15"/>
      <c r="AB28" s="4"/>
      <c r="AC28" s="10"/>
      <c r="AD28" s="1"/>
      <c r="AE28" s="3"/>
      <c r="AF28" s="15"/>
      <c r="AG28" s="4"/>
      <c r="AH28" s="10"/>
      <c r="AI28" s="1"/>
      <c r="AJ28" s="3"/>
      <c r="AK28" s="15"/>
      <c r="AL28" s="4"/>
      <c r="AM28" s="10"/>
      <c r="AN28" s="1"/>
      <c r="AO28" s="3"/>
      <c r="AP28" s="15"/>
      <c r="AQ28" s="4"/>
      <c r="AR28" s="10"/>
      <c r="AS28" s="1"/>
      <c r="AT28" s="3"/>
      <c r="AU28" s="15"/>
      <c r="AV28" s="4"/>
      <c r="AW28" s="10"/>
    </row>
    <row r="29" spans="1:49" x14ac:dyDescent="0.45">
      <c r="A29" s="3"/>
      <c r="B29" s="1"/>
      <c r="C29" s="4"/>
      <c r="D29" s="10"/>
      <c r="E29" s="1"/>
      <c r="F29" s="3"/>
      <c r="G29" s="19"/>
      <c r="H29" s="4"/>
      <c r="I29" s="10"/>
      <c r="J29" s="1"/>
      <c r="K29" s="3"/>
      <c r="L29" s="19"/>
      <c r="M29" s="4"/>
      <c r="N29" s="10"/>
      <c r="O29" s="1"/>
      <c r="P29" s="3">
        <v>29763.5</v>
      </c>
      <c r="Q29" s="19">
        <f t="shared" si="6"/>
        <v>298.14999999999998</v>
      </c>
      <c r="R29" s="4">
        <v>0.15376255103</v>
      </c>
      <c r="S29" s="10" t="e">
        <f t="shared" si="7"/>
        <v>#VALUE!</v>
      </c>
      <c r="T29" s="1"/>
      <c r="U29" s="3"/>
      <c r="V29" s="15"/>
      <c r="W29" s="4"/>
      <c r="X29" s="10"/>
      <c r="Y29" s="1"/>
      <c r="Z29" s="3"/>
      <c r="AA29" s="15"/>
      <c r="AB29" s="4"/>
      <c r="AC29" s="10"/>
      <c r="AD29" s="1"/>
      <c r="AE29" s="3"/>
      <c r="AF29" s="15"/>
      <c r="AG29" s="4"/>
      <c r="AH29" s="10"/>
      <c r="AI29" s="1"/>
      <c r="AJ29" s="3"/>
      <c r="AK29" s="15"/>
      <c r="AL29" s="4"/>
      <c r="AM29" s="10"/>
      <c r="AN29" s="1"/>
      <c r="AO29" s="3"/>
      <c r="AP29" s="15"/>
      <c r="AQ29" s="4"/>
      <c r="AR29" s="10"/>
      <c r="AS29" s="1"/>
      <c r="AT29" s="3"/>
      <c r="AU29" s="15"/>
      <c r="AV29" s="4"/>
      <c r="AW29" s="10"/>
    </row>
    <row r="30" spans="1:49" x14ac:dyDescent="0.45">
      <c r="A30" s="3"/>
      <c r="B30" s="1"/>
      <c r="C30" s="4"/>
      <c r="D30" s="10"/>
      <c r="E30" s="1"/>
      <c r="F30" s="3"/>
      <c r="G30" s="19"/>
      <c r="H30" s="4"/>
      <c r="I30" s="10"/>
      <c r="J30" s="1"/>
      <c r="K30" s="3"/>
      <c r="L30" s="19"/>
      <c r="M30" s="4"/>
      <c r="N30" s="10"/>
      <c r="O30" s="1"/>
      <c r="P30" s="3">
        <v>40943.800000000003</v>
      </c>
      <c r="Q30" s="19">
        <f t="shared" si="6"/>
        <v>298.14999999999998</v>
      </c>
      <c r="R30" s="4">
        <v>0.17645858362000005</v>
      </c>
      <c r="S30" s="10" t="e">
        <f t="shared" si="7"/>
        <v>#VALUE!</v>
      </c>
      <c r="T30" s="1"/>
      <c r="U30" s="3"/>
      <c r="V30" s="15"/>
      <c r="W30" s="4"/>
      <c r="X30" s="10"/>
      <c r="Y30" s="1"/>
      <c r="Z30" s="3"/>
      <c r="AA30" s="15"/>
      <c r="AB30" s="4"/>
      <c r="AC30" s="10"/>
      <c r="AD30" s="1"/>
      <c r="AE30" s="3"/>
      <c r="AF30" s="15"/>
      <c r="AG30" s="4"/>
      <c r="AH30" s="10"/>
      <c r="AI30" s="1"/>
      <c r="AJ30" s="3"/>
      <c r="AK30" s="15"/>
      <c r="AL30" s="4"/>
      <c r="AM30" s="10"/>
      <c r="AN30" s="1"/>
      <c r="AO30" s="3"/>
      <c r="AP30" s="15"/>
      <c r="AQ30" s="4"/>
      <c r="AR30" s="10"/>
      <c r="AS30" s="1"/>
      <c r="AT30" s="3"/>
      <c r="AU30" s="15"/>
      <c r="AV30" s="4"/>
      <c r="AW30" s="10"/>
    </row>
    <row r="31" spans="1:49" x14ac:dyDescent="0.45">
      <c r="A31" s="3"/>
      <c r="B31" s="1"/>
      <c r="C31" s="4"/>
      <c r="D31" s="10"/>
      <c r="E31" s="1"/>
      <c r="F31" s="3"/>
      <c r="G31" s="1"/>
      <c r="H31" s="4"/>
      <c r="I31" s="10"/>
      <c r="J31" s="1"/>
      <c r="K31" s="3"/>
      <c r="L31" s="19"/>
      <c r="M31" s="4"/>
      <c r="N31" s="10"/>
      <c r="O31" s="1"/>
      <c r="P31" s="3">
        <v>43640.4</v>
      </c>
      <c r="Q31" s="19">
        <f t="shared" si="6"/>
        <v>298.14999999999998</v>
      </c>
      <c r="R31" s="4">
        <v>0.16753359293000003</v>
      </c>
      <c r="S31" s="10" t="e">
        <f t="shared" si="7"/>
        <v>#VALUE!</v>
      </c>
      <c r="T31" s="1"/>
      <c r="U31" s="3"/>
      <c r="V31" s="15"/>
      <c r="W31" s="4"/>
      <c r="X31" s="10"/>
      <c r="Y31" s="1"/>
      <c r="Z31" s="3"/>
      <c r="AA31" s="15"/>
      <c r="AB31" s="4"/>
      <c r="AC31" s="10"/>
      <c r="AD31" s="1"/>
      <c r="AE31" s="3"/>
      <c r="AF31" s="15"/>
      <c r="AG31" s="4"/>
      <c r="AH31" s="10"/>
      <c r="AI31" s="1"/>
      <c r="AJ31" s="3"/>
      <c r="AK31" s="15"/>
      <c r="AL31" s="4"/>
      <c r="AM31" s="10"/>
      <c r="AN31" s="1"/>
      <c r="AO31" s="3"/>
      <c r="AP31" s="15"/>
      <c r="AQ31" s="4"/>
      <c r="AR31" s="10"/>
      <c r="AS31" s="1"/>
      <c r="AT31" s="3"/>
      <c r="AU31" s="15"/>
      <c r="AV31" s="4"/>
      <c r="AW31" s="10"/>
    </row>
    <row r="32" spans="1:49" x14ac:dyDescent="0.45">
      <c r="A32" s="3"/>
      <c r="B32" s="1"/>
      <c r="C32" s="4"/>
      <c r="D32" s="10"/>
      <c r="E32" s="1"/>
      <c r="F32" s="3"/>
      <c r="G32" s="1"/>
      <c r="H32" s="4"/>
      <c r="I32" s="10"/>
      <c r="J32" s="1"/>
      <c r="K32" s="3"/>
      <c r="L32" s="19"/>
      <c r="M32" s="4"/>
      <c r="N32" s="10"/>
      <c r="O32" s="1"/>
      <c r="P32" s="3">
        <v>61978.9</v>
      </c>
      <c r="Q32" s="19">
        <f t="shared" si="6"/>
        <v>298.14999999999998</v>
      </c>
      <c r="R32" s="4">
        <v>0.17942096403000002</v>
      </c>
      <c r="S32" s="10" t="e">
        <f t="shared" si="7"/>
        <v>#VALUE!</v>
      </c>
      <c r="T32" s="1"/>
      <c r="U32" s="3"/>
      <c r="V32" s="15"/>
      <c r="W32" s="4"/>
      <c r="X32" s="10"/>
      <c r="Y32" s="1"/>
      <c r="Z32" s="3"/>
      <c r="AA32" s="15"/>
      <c r="AB32" s="4"/>
      <c r="AC32" s="10"/>
      <c r="AD32" s="1"/>
      <c r="AE32" s="3"/>
      <c r="AF32" s="15"/>
      <c r="AG32" s="4"/>
      <c r="AH32" s="10"/>
      <c r="AI32" s="1"/>
      <c r="AJ32" s="3"/>
      <c r="AK32" s="15"/>
      <c r="AL32" s="4"/>
      <c r="AM32" s="10"/>
      <c r="AN32" s="1"/>
      <c r="AO32" s="3"/>
      <c r="AP32" s="15"/>
      <c r="AQ32" s="4"/>
      <c r="AR32" s="10"/>
      <c r="AS32" s="1"/>
      <c r="AT32" s="3"/>
      <c r="AU32" s="15"/>
      <c r="AV32" s="4"/>
      <c r="AW32" s="10"/>
    </row>
    <row r="33" spans="1:49" x14ac:dyDescent="0.45">
      <c r="A33" s="3"/>
      <c r="B33" s="1"/>
      <c r="C33" s="4"/>
      <c r="D33" s="10"/>
      <c r="E33" s="1"/>
      <c r="F33" s="3"/>
      <c r="G33" s="1"/>
      <c r="H33" s="4"/>
      <c r="I33" s="10"/>
      <c r="J33" s="1"/>
      <c r="K33" s="3"/>
      <c r="L33" s="19"/>
      <c r="M33" s="4"/>
      <c r="N33" s="10"/>
      <c r="O33" s="1"/>
      <c r="P33" s="3">
        <v>75049.2</v>
      </c>
      <c r="Q33" s="19">
        <f t="shared" si="6"/>
        <v>298.14999999999998</v>
      </c>
      <c r="R33" s="4">
        <v>0.18567272657999997</v>
      </c>
      <c r="S33" s="10" t="e">
        <f t="shared" si="7"/>
        <v>#VALUE!</v>
      </c>
      <c r="T33" s="1"/>
      <c r="U33" s="3"/>
      <c r="V33" s="1"/>
      <c r="W33" s="4"/>
      <c r="X33" s="10"/>
      <c r="Y33" s="1"/>
      <c r="Z33" s="3"/>
      <c r="AA33" s="1"/>
      <c r="AB33" s="4"/>
      <c r="AC33" s="10"/>
      <c r="AD33" s="1"/>
      <c r="AE33" s="3"/>
      <c r="AF33" s="1"/>
      <c r="AG33" s="4"/>
      <c r="AH33" s="10"/>
      <c r="AI33" s="1"/>
      <c r="AJ33" s="3"/>
      <c r="AK33" s="1"/>
      <c r="AL33" s="4"/>
      <c r="AM33" s="10"/>
      <c r="AN33" s="1"/>
      <c r="AO33" s="3"/>
      <c r="AP33" s="1"/>
      <c r="AQ33" s="4"/>
      <c r="AR33" s="10"/>
      <c r="AS33" s="1"/>
      <c r="AT33" s="3"/>
      <c r="AU33" s="1"/>
      <c r="AV33" s="4"/>
      <c r="AW33" s="10"/>
    </row>
    <row r="34" spans="1:49" ht="14.65" thickBot="1" x14ac:dyDescent="0.5">
      <c r="A34" s="5"/>
      <c r="B34" s="2"/>
      <c r="C34" s="6"/>
      <c r="D34" s="11"/>
      <c r="E34" s="2"/>
      <c r="F34" s="5"/>
      <c r="G34" s="2"/>
      <c r="H34" s="6"/>
      <c r="I34" s="11"/>
      <c r="J34" s="2"/>
      <c r="K34" s="5"/>
      <c r="L34" s="20"/>
      <c r="M34" s="6"/>
      <c r="N34" s="11"/>
      <c r="O34" s="2"/>
      <c r="P34" s="5">
        <v>93820.800000000003</v>
      </c>
      <c r="Q34" s="20">
        <f t="shared" si="6"/>
        <v>298.14999999999998</v>
      </c>
      <c r="R34" s="6">
        <v>0.19213354137999999</v>
      </c>
      <c r="S34" s="11" t="e">
        <f t="shared" si="7"/>
        <v>#VALUE!</v>
      </c>
      <c r="T34" s="2"/>
      <c r="U34" s="5"/>
      <c r="V34" s="2"/>
      <c r="W34" s="6"/>
      <c r="X34" s="11"/>
      <c r="Y34" s="2"/>
      <c r="Z34" s="5"/>
      <c r="AA34" s="2"/>
      <c r="AB34" s="6"/>
      <c r="AC34" s="11"/>
      <c r="AD34" s="2"/>
      <c r="AE34" s="5"/>
      <c r="AF34" s="2"/>
      <c r="AG34" s="6"/>
      <c r="AH34" s="11"/>
      <c r="AI34" s="2"/>
      <c r="AJ34" s="5"/>
      <c r="AK34" s="2"/>
      <c r="AL34" s="6"/>
      <c r="AM34" s="11"/>
      <c r="AN34" s="2"/>
      <c r="AO34" s="5"/>
      <c r="AP34" s="2"/>
      <c r="AQ34" s="6"/>
      <c r="AR34" s="11"/>
      <c r="AS34" s="2"/>
      <c r="AT34" s="5"/>
      <c r="AU34" s="2"/>
      <c r="AV34" s="6"/>
      <c r="AW34" s="11"/>
    </row>
    <row r="35" spans="1:49" ht="14.65" thickBot="1" x14ac:dyDescent="0.5"/>
    <row r="36" spans="1:49" ht="14.65" thickBot="1" x14ac:dyDescent="0.5">
      <c r="A36" s="171" t="s">
        <v>27</v>
      </c>
      <c r="B36" s="172"/>
      <c r="C36" s="172"/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2"/>
      <c r="AG36" s="172"/>
      <c r="AH36" s="172"/>
      <c r="AI36" s="172"/>
      <c r="AJ36" s="172"/>
      <c r="AK36" s="172"/>
      <c r="AL36" s="172"/>
      <c r="AM36" s="172"/>
      <c r="AN36" s="172"/>
      <c r="AO36" s="172"/>
      <c r="AP36" s="172"/>
      <c r="AQ36" s="172"/>
      <c r="AR36" s="172"/>
      <c r="AS36" s="172"/>
      <c r="AT36" s="172"/>
      <c r="AU36" s="172"/>
      <c r="AV36" s="172"/>
      <c r="AW36" s="173"/>
    </row>
    <row r="37" spans="1:49" x14ac:dyDescent="0.45">
      <c r="A37" s="179" t="s">
        <v>10</v>
      </c>
      <c r="B37" s="180"/>
      <c r="C37" s="180"/>
      <c r="D37" s="181"/>
      <c r="E37" s="191" t="s">
        <v>30</v>
      </c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3"/>
    </row>
    <row r="38" spans="1:49" x14ac:dyDescent="0.45">
      <c r="A38" s="179" t="s">
        <v>12</v>
      </c>
      <c r="B38" s="180"/>
      <c r="C38" s="180"/>
      <c r="D38" s="181"/>
      <c r="E38" s="189" t="s">
        <v>31</v>
      </c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0"/>
      <c r="AF38" s="160"/>
      <c r="AG38" s="160"/>
      <c r="AH38" s="160"/>
      <c r="AI38" s="160"/>
      <c r="AJ38" s="160"/>
      <c r="AK38" s="160"/>
      <c r="AL38" s="160"/>
      <c r="AM38" s="160"/>
      <c r="AN38" s="160"/>
      <c r="AO38" s="160"/>
      <c r="AP38" s="160"/>
      <c r="AQ38" s="160"/>
      <c r="AR38" s="160"/>
      <c r="AS38" s="160"/>
      <c r="AT38" s="160"/>
      <c r="AU38" s="160"/>
      <c r="AV38" s="160"/>
      <c r="AW38" s="182"/>
    </row>
    <row r="39" spans="1:49" x14ac:dyDescent="0.45">
      <c r="A39" s="179" t="s">
        <v>14</v>
      </c>
      <c r="B39" s="180"/>
      <c r="C39" s="180"/>
      <c r="D39" s="181"/>
      <c r="E39" s="189" t="s">
        <v>15</v>
      </c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0"/>
      <c r="AD39" s="160"/>
      <c r="AE39" s="160"/>
      <c r="AF39" s="160"/>
      <c r="AG39" s="160"/>
      <c r="AH39" s="160"/>
      <c r="AI39" s="160"/>
      <c r="AJ39" s="160"/>
      <c r="AK39" s="160"/>
      <c r="AL39" s="160"/>
      <c r="AM39" s="160"/>
      <c r="AN39" s="160"/>
      <c r="AO39" s="160"/>
      <c r="AP39" s="160"/>
      <c r="AQ39" s="160"/>
      <c r="AR39" s="160"/>
      <c r="AS39" s="160"/>
      <c r="AT39" s="160"/>
      <c r="AU39" s="160"/>
      <c r="AV39" s="160"/>
      <c r="AW39" s="182"/>
    </row>
    <row r="40" spans="1:49" x14ac:dyDescent="0.45">
      <c r="A40" s="179" t="s">
        <v>16</v>
      </c>
      <c r="B40" s="180"/>
      <c r="C40" s="180"/>
      <c r="D40" s="181"/>
      <c r="E40" s="189" t="s">
        <v>32</v>
      </c>
      <c r="F40" s="160"/>
      <c r="G40" s="160"/>
      <c r="H40" s="160"/>
      <c r="I40" s="180" t="s">
        <v>24</v>
      </c>
      <c r="J40" s="180"/>
      <c r="K40" s="180"/>
      <c r="L40" s="180"/>
      <c r="M40" s="180"/>
      <c r="N40" s="160">
        <v>1</v>
      </c>
      <c r="O40" s="160"/>
      <c r="P40" s="16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160"/>
      <c r="AL40" s="160"/>
      <c r="AM40" s="160"/>
      <c r="AN40" s="160"/>
      <c r="AO40" s="160"/>
      <c r="AP40" s="160"/>
      <c r="AQ40" s="160"/>
      <c r="AR40" s="160"/>
      <c r="AS40" s="160"/>
      <c r="AT40" s="160"/>
      <c r="AU40" s="160"/>
      <c r="AV40" s="160"/>
      <c r="AW40" s="182"/>
    </row>
    <row r="41" spans="1:49" x14ac:dyDescent="0.45">
      <c r="A41" s="179" t="s">
        <v>18</v>
      </c>
      <c r="B41" s="180"/>
      <c r="C41" s="180"/>
      <c r="D41" s="181"/>
      <c r="E41" s="189" t="s">
        <v>19</v>
      </c>
      <c r="F41" s="160"/>
      <c r="G41" s="160"/>
      <c r="H41" s="160"/>
      <c r="I41" s="180" t="s">
        <v>25</v>
      </c>
      <c r="J41" s="180"/>
      <c r="K41" s="180"/>
      <c r="L41" s="180"/>
      <c r="M41" s="180"/>
      <c r="N41" s="160">
        <v>1</v>
      </c>
      <c r="O41" s="160"/>
      <c r="P41" s="16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160"/>
      <c r="AL41" s="160"/>
      <c r="AM41" s="160"/>
      <c r="AN41" s="160"/>
      <c r="AO41" s="160"/>
      <c r="AP41" s="160"/>
      <c r="AQ41" s="160"/>
      <c r="AR41" s="160"/>
      <c r="AS41" s="160"/>
      <c r="AT41" s="160"/>
      <c r="AU41" s="160"/>
      <c r="AV41" s="160"/>
      <c r="AW41" s="182"/>
    </row>
    <row r="42" spans="1:49" ht="14.65" thickBot="1" x14ac:dyDescent="0.5">
      <c r="A42" s="183" t="s">
        <v>20</v>
      </c>
      <c r="B42" s="184"/>
      <c r="C42" s="184"/>
      <c r="D42" s="185"/>
      <c r="E42" s="190" t="s">
        <v>21</v>
      </c>
      <c r="F42" s="186"/>
      <c r="G42" s="186"/>
      <c r="H42" s="186"/>
      <c r="I42" s="184" t="s">
        <v>26</v>
      </c>
      <c r="J42" s="184"/>
      <c r="K42" s="184"/>
      <c r="L42" s="184"/>
      <c r="M42" s="184"/>
      <c r="N42" s="186">
        <v>1</v>
      </c>
      <c r="O42" s="186"/>
      <c r="P42" s="186"/>
      <c r="Q42" s="186"/>
      <c r="R42" s="186"/>
      <c r="S42" s="186"/>
      <c r="T42" s="186"/>
      <c r="U42" s="186"/>
      <c r="V42" s="186"/>
      <c r="W42" s="186"/>
      <c r="X42" s="186"/>
      <c r="Y42" s="186"/>
      <c r="Z42" s="186"/>
      <c r="AA42" s="186"/>
      <c r="AB42" s="186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7"/>
    </row>
  </sheetData>
  <mergeCells count="30">
    <mergeCell ref="A1:AW1"/>
    <mergeCell ref="A2:C2"/>
    <mergeCell ref="F2:H2"/>
    <mergeCell ref="K2:M2"/>
    <mergeCell ref="P2:R2"/>
    <mergeCell ref="U2:W2"/>
    <mergeCell ref="Z2:AB2"/>
    <mergeCell ref="AE2:AG2"/>
    <mergeCell ref="AJ2:AL2"/>
    <mergeCell ref="AO2:AQ2"/>
    <mergeCell ref="AT2:AV2"/>
    <mergeCell ref="A36:AW36"/>
    <mergeCell ref="A37:D37"/>
    <mergeCell ref="E37:AW37"/>
    <mergeCell ref="A38:D38"/>
    <mergeCell ref="E38:AW38"/>
    <mergeCell ref="A39:D39"/>
    <mergeCell ref="E39:AW39"/>
    <mergeCell ref="A40:D40"/>
    <mergeCell ref="E40:H40"/>
    <mergeCell ref="I40:M40"/>
    <mergeCell ref="N40:AW40"/>
    <mergeCell ref="A41:D41"/>
    <mergeCell ref="E41:H41"/>
    <mergeCell ref="I41:M41"/>
    <mergeCell ref="N41:AW41"/>
    <mergeCell ref="A42:D42"/>
    <mergeCell ref="E42:H42"/>
    <mergeCell ref="I42:M42"/>
    <mergeCell ref="N42:AW4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9">
    <tabColor theme="4" tint="0.79998168889431442"/>
  </sheetPr>
  <dimension ref="A1:AW30"/>
  <sheetViews>
    <sheetView topLeftCell="AF1" zoomScaleNormal="100" workbookViewId="0">
      <selection activeCell="K13" sqref="K13"/>
    </sheetView>
  </sheetViews>
  <sheetFormatPr baseColWidth="10" defaultRowHeight="14.25" x14ac:dyDescent="0.45"/>
  <cols>
    <col min="1" max="1" width="8" bestFit="1" customWidth="1"/>
    <col min="2" max="2" width="7" bestFit="1" customWidth="1"/>
    <col min="3" max="3" width="8" bestFit="1" customWidth="1"/>
    <col min="4" max="4" width="15.59765625" bestFit="1" customWidth="1"/>
    <col min="5" max="5" width="2.86328125" customWidth="1"/>
    <col min="6" max="6" width="8" bestFit="1" customWidth="1"/>
    <col min="7" max="7" width="7" bestFit="1" customWidth="1"/>
    <col min="8" max="8" width="8" bestFit="1" customWidth="1"/>
    <col min="9" max="9" width="15.59765625" bestFit="1" customWidth="1"/>
    <col min="10" max="10" width="2.86328125" customWidth="1"/>
    <col min="11" max="13" width="8" bestFit="1" customWidth="1"/>
    <col min="14" max="14" width="16.1328125" bestFit="1" customWidth="1"/>
    <col min="15" max="15" width="2.86328125" customWidth="1"/>
    <col min="16" max="16" width="8" bestFit="1" customWidth="1"/>
    <col min="17" max="17" width="7" bestFit="1" customWidth="1"/>
    <col min="18" max="18" width="8" bestFit="1" customWidth="1"/>
    <col min="19" max="19" width="15.59765625" bestFit="1" customWidth="1"/>
    <col min="20" max="20" width="2.86328125" customWidth="1"/>
    <col min="21" max="21" width="8" bestFit="1" customWidth="1"/>
    <col min="22" max="22" width="7" bestFit="1" customWidth="1"/>
    <col min="23" max="23" width="8" bestFit="1" customWidth="1"/>
    <col min="24" max="24" width="15.59765625" bestFit="1" customWidth="1"/>
    <col min="25" max="25" width="2.86328125" customWidth="1"/>
    <col min="26" max="26" width="8" bestFit="1" customWidth="1"/>
    <col min="27" max="27" width="7" bestFit="1" customWidth="1"/>
    <col min="28" max="28" width="8" bestFit="1" customWidth="1"/>
    <col min="29" max="29" width="15.59765625" bestFit="1" customWidth="1"/>
    <col min="30" max="30" width="2.86328125" customWidth="1"/>
    <col min="31" max="31" width="8" bestFit="1" customWidth="1"/>
    <col min="32" max="32" width="7" bestFit="1" customWidth="1"/>
    <col min="33" max="33" width="8" bestFit="1" customWidth="1"/>
    <col min="34" max="34" width="15.59765625" bestFit="1" customWidth="1"/>
    <col min="35" max="35" width="2.86328125" customWidth="1"/>
    <col min="36" max="36" width="8" bestFit="1" customWidth="1"/>
    <col min="37" max="37" width="7" bestFit="1" customWidth="1"/>
    <col min="38" max="38" width="8" bestFit="1" customWidth="1"/>
    <col min="39" max="39" width="15.59765625" bestFit="1" customWidth="1"/>
    <col min="40" max="40" width="2.86328125" customWidth="1"/>
    <col min="41" max="41" width="8" bestFit="1" customWidth="1"/>
    <col min="42" max="42" width="7" bestFit="1" customWidth="1"/>
    <col min="43" max="43" width="8" bestFit="1" customWidth="1"/>
    <col min="44" max="44" width="15.59765625" bestFit="1" customWidth="1"/>
    <col min="45" max="45" width="2.86328125" customWidth="1"/>
    <col min="46" max="46" width="8" bestFit="1" customWidth="1"/>
    <col min="47" max="47" width="7" bestFit="1" customWidth="1"/>
    <col min="48" max="48" width="8" bestFit="1" customWidth="1"/>
    <col min="49" max="49" width="15.59765625" bestFit="1" customWidth="1"/>
    <col min="50" max="50" width="2.86328125" customWidth="1"/>
  </cols>
  <sheetData>
    <row r="1" spans="1:49" ht="41.65" customHeight="1" thickBot="1" x14ac:dyDescent="0.5">
      <c r="A1" s="174" t="s">
        <v>130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  <c r="AV1" s="175"/>
      <c r="AW1" s="176"/>
    </row>
    <row r="2" spans="1:49" x14ac:dyDescent="0.45">
      <c r="A2" s="194" t="s">
        <v>33</v>
      </c>
      <c r="B2" s="195"/>
      <c r="C2" s="195"/>
      <c r="D2" s="16" t="s">
        <v>34</v>
      </c>
      <c r="E2" s="1"/>
      <c r="F2" s="177" t="s">
        <v>70</v>
      </c>
      <c r="G2" s="178"/>
      <c r="H2" s="178"/>
      <c r="I2" s="7" t="s">
        <v>71</v>
      </c>
      <c r="J2" s="1"/>
      <c r="K2" s="177" t="s">
        <v>72</v>
      </c>
      <c r="L2" s="178"/>
      <c r="M2" s="178"/>
      <c r="N2" s="7" t="s">
        <v>73</v>
      </c>
      <c r="O2" s="1"/>
      <c r="P2" s="177" t="s">
        <v>74</v>
      </c>
      <c r="Q2" s="178"/>
      <c r="R2" s="178"/>
      <c r="S2" s="7" t="s">
        <v>75</v>
      </c>
      <c r="T2" s="1"/>
      <c r="U2" s="194" t="s">
        <v>76</v>
      </c>
      <c r="V2" s="195"/>
      <c r="W2" s="195"/>
      <c r="X2" s="16" t="s">
        <v>77</v>
      </c>
      <c r="Y2" s="1"/>
      <c r="Z2" s="194" t="s">
        <v>78</v>
      </c>
      <c r="AA2" s="195"/>
      <c r="AB2" s="195"/>
      <c r="AC2" s="16" t="s">
        <v>79</v>
      </c>
      <c r="AD2" s="1"/>
      <c r="AE2" s="194" t="s">
        <v>80</v>
      </c>
      <c r="AF2" s="195"/>
      <c r="AG2" s="195"/>
      <c r="AH2" s="16" t="s">
        <v>81</v>
      </c>
      <c r="AI2" s="1"/>
      <c r="AJ2" s="194" t="s">
        <v>82</v>
      </c>
      <c r="AK2" s="195"/>
      <c r="AL2" s="195"/>
      <c r="AM2" s="16" t="s">
        <v>83</v>
      </c>
      <c r="AN2" s="1"/>
      <c r="AO2" s="194" t="s">
        <v>84</v>
      </c>
      <c r="AP2" s="195"/>
      <c r="AQ2" s="195"/>
      <c r="AR2" s="16" t="s">
        <v>85</v>
      </c>
      <c r="AS2" s="1"/>
      <c r="AT2" s="194" t="s">
        <v>86</v>
      </c>
      <c r="AU2" s="195"/>
      <c r="AV2" s="195"/>
      <c r="AW2" s="16" t="s">
        <v>87</v>
      </c>
    </row>
    <row r="3" spans="1:49" x14ac:dyDescent="0.4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4.65" thickBot="1" x14ac:dyDescent="0.5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45">
      <c r="A5" s="3">
        <v>207.23099999999999</v>
      </c>
      <c r="B5" s="19">
        <v>228.14999999999998</v>
      </c>
      <c r="C5" s="4">
        <v>0.15453098309000002</v>
      </c>
      <c r="D5" s="10" t="e">
        <f>ws_direct_ads_w_pT(A5,B5,$E$25,$E$26,$E$27,$E$28,$N$28,$E$29,$N$29,$E$30,$N$30)</f>
        <v>#VALUE!</v>
      </c>
      <c r="E5" s="1"/>
      <c r="F5" s="12">
        <v>170.63499999999999</v>
      </c>
      <c r="G5" s="18">
        <v>248.14999999999998</v>
      </c>
      <c r="H5" s="13">
        <v>8.2468692020000012E-2</v>
      </c>
      <c r="I5" s="14" t="e">
        <f t="shared" ref="I5:I10" si="0">ws_direct_ads_w_pT(F5,G5,$E$25,$E$26,$E$27,$E$28,$N$28,$E$29,$N$29,$E$30,$N$30)</f>
        <v>#VALUE!</v>
      </c>
      <c r="J5" s="1"/>
      <c r="K5" s="12">
        <v>95.258300000000006</v>
      </c>
      <c r="L5" s="19">
        <v>273.14999999999998</v>
      </c>
      <c r="M5" s="13">
        <v>3.7616597799000007E-2</v>
      </c>
      <c r="N5" s="14" t="e">
        <f t="shared" ref="N5:N11" si="1">ws_direct_ads_w_pT(K5,L5,$E$25,$E$26,$E$27,$E$28,$N$28,$E$29,$N$29,$E$30,$N$30)</f>
        <v>#VALUE!</v>
      </c>
      <c r="O5" s="1"/>
      <c r="P5" s="12">
        <v>67.143500000000003</v>
      </c>
      <c r="Q5" s="19">
        <v>298.14999999999998</v>
      </c>
      <c r="R5" s="13">
        <v>1.7613026156000001E-2</v>
      </c>
      <c r="S5" s="14" t="e">
        <f t="shared" ref="S5:S22" si="2">ws_direct_ads_w_pT(P5,Q5,$E$25,$E$26,$E$27,$E$28,$N$28,$E$29,$N$29,$E$30,$N$30)</f>
        <v>#VALUE!</v>
      </c>
      <c r="T5" s="1"/>
      <c r="U5" s="12">
        <v>199.33199999999999</v>
      </c>
      <c r="V5" s="18">
        <v>323.14999999999998</v>
      </c>
      <c r="W5" s="13">
        <v>1.7613026156000001E-2</v>
      </c>
      <c r="X5" s="14" t="e">
        <f t="shared" ref="X5:X12" si="3">ws_direct_ads_w_pT(U5,V5,$E$25,$E$26,$E$27,$E$28,$N$28,$E$29,$N$29,$E$30,$N$30)</f>
        <v>#VALUE!</v>
      </c>
      <c r="Y5" s="1"/>
      <c r="Z5" s="12">
        <v>547.51599999999996</v>
      </c>
      <c r="AA5" s="18">
        <v>348.15</v>
      </c>
      <c r="AB5" s="13">
        <v>1.6715025712000002E-2</v>
      </c>
      <c r="AC5" s="14" t="e">
        <f t="shared" ref="AC5:AC10" si="4">ws_direct_ads_w_pT(Z5,AA5,$E$25,$E$26,$E$27,$E$28,$N$28,$E$29,$N$29,$E$30,$N$30)</f>
        <v>#VALUE!</v>
      </c>
      <c r="AD5" s="1"/>
      <c r="AE5" s="12">
        <v>872.827</v>
      </c>
      <c r="AF5" s="18">
        <v>373.15</v>
      </c>
      <c r="AG5" s="13">
        <v>9.9045435170000001E-3</v>
      </c>
      <c r="AH5" s="14" t="e">
        <f t="shared" ref="AH5:AH10" si="5">ws_direct_ads_w_pT(AE5,AF5,$E$25,$E$26,$E$27,$E$28,$N$28,$E$29,$N$29,$E$30,$N$30)</f>
        <v>#VALUE!</v>
      </c>
      <c r="AI5" s="1"/>
      <c r="AJ5" s="12">
        <v>872.827</v>
      </c>
      <c r="AK5" s="18">
        <v>398.15</v>
      </c>
      <c r="AL5" s="13">
        <v>9.6487515850000004E-3</v>
      </c>
      <c r="AM5" s="14" t="e">
        <f t="shared" ref="AM5:AM10" si="6">ws_direct_ads_w_pT(AJ5,AK5,$E$25,$E$26,$E$27,$E$28,$N$28,$E$29,$N$29,$E$30,$N$30)</f>
        <v>#VALUE!</v>
      </c>
      <c r="AN5" s="1"/>
      <c r="AO5" s="12">
        <v>1446.56</v>
      </c>
      <c r="AP5" s="18">
        <v>423.15</v>
      </c>
      <c r="AQ5" s="13">
        <v>8.2468692020000005E-3</v>
      </c>
      <c r="AR5" s="14" t="e">
        <f t="shared" ref="AR5:AR10" si="7">ws_direct_ads_w_pT(AO5,AP5,$E$25,$E$26,$E$27,$E$28,$N$28,$E$29,$N$29,$E$30,$N$30)</f>
        <v>#VALUE!</v>
      </c>
      <c r="AS5" s="1"/>
      <c r="AT5" s="12">
        <v>2052.2800000000002</v>
      </c>
      <c r="AU5" s="18">
        <v>448.15</v>
      </c>
      <c r="AV5" s="13">
        <v>7.2355404330000008E-3</v>
      </c>
      <c r="AW5" s="14" t="e">
        <f>ws_direct_ads_w_pT(AT5,AU5,$E$25,$E$26,$E$27,$E$28,$N$28,$E$29,$N$29,$E$30,$N$30)</f>
        <v>#VALUE!</v>
      </c>
    </row>
    <row r="6" spans="1:49" x14ac:dyDescent="0.45">
      <c r="A6" s="3">
        <v>417.11200000000002</v>
      </c>
      <c r="B6" s="19">
        <v>228.14999999999998</v>
      </c>
      <c r="C6" s="4">
        <v>0.18559306667</v>
      </c>
      <c r="D6" s="10" t="e">
        <f>ws_direct_ads_w_pT(A6,B6,$E$25,$E$26,$E$27,$E$28,$N$28,$E$29,$N$29,$E$30,$N$30)</f>
        <v>#VALUE!</v>
      </c>
      <c r="E6" s="1"/>
      <c r="F6" s="3">
        <v>357.06099999999998</v>
      </c>
      <c r="G6" s="19">
        <v>248.14999999999998</v>
      </c>
      <c r="H6" s="4">
        <v>0.10997380658</v>
      </c>
      <c r="I6" s="10" t="e">
        <f t="shared" si="0"/>
        <v>#VALUE!</v>
      </c>
      <c r="J6" s="1"/>
      <c r="K6" s="3">
        <v>272.01900000000001</v>
      </c>
      <c r="L6" s="19">
        <v>273.14999999999998</v>
      </c>
      <c r="M6" s="4">
        <v>5.425896135000001E-2</v>
      </c>
      <c r="N6" s="10" t="e">
        <f t="shared" si="1"/>
        <v>#VALUE!</v>
      </c>
      <c r="O6" s="1"/>
      <c r="P6" s="3">
        <v>111.279</v>
      </c>
      <c r="Q6" s="19">
        <v>298.14999999999998</v>
      </c>
      <c r="R6" s="4">
        <v>2.0607050475000003E-2</v>
      </c>
      <c r="S6" s="10" t="e">
        <f t="shared" si="2"/>
        <v>#VALUE!</v>
      </c>
      <c r="T6" s="1"/>
      <c r="U6" s="3">
        <v>468.69</v>
      </c>
      <c r="V6" s="19">
        <v>323.14999999999998</v>
      </c>
      <c r="W6" s="4">
        <v>2.4110017998000003E-2</v>
      </c>
      <c r="X6" s="10" t="e">
        <f t="shared" si="3"/>
        <v>#VALUE!</v>
      </c>
      <c r="Y6" s="1"/>
      <c r="Z6" s="3">
        <v>1145.7</v>
      </c>
      <c r="AA6" s="19">
        <v>348.15</v>
      </c>
      <c r="AB6" s="4">
        <v>2.2289811060000001E-2</v>
      </c>
      <c r="AC6" s="10" t="e">
        <f t="shared" si="4"/>
        <v>#VALUE!</v>
      </c>
      <c r="AD6" s="1"/>
      <c r="AE6" s="3">
        <v>2052.2800000000002</v>
      </c>
      <c r="AF6" s="19">
        <v>373.15</v>
      </c>
      <c r="AG6" s="4">
        <v>1.2866791894E-2</v>
      </c>
      <c r="AH6" s="10" t="e">
        <f t="shared" si="5"/>
        <v>#VALUE!</v>
      </c>
      <c r="AI6" s="1"/>
      <c r="AJ6" s="3">
        <v>1974.05</v>
      </c>
      <c r="AK6" s="19">
        <v>398.15</v>
      </c>
      <c r="AL6" s="4">
        <v>1.3207921155000002E-2</v>
      </c>
      <c r="AM6" s="10" t="e">
        <f t="shared" si="6"/>
        <v>#VALUE!</v>
      </c>
      <c r="AN6" s="1"/>
      <c r="AO6" s="3">
        <v>2800.64</v>
      </c>
      <c r="AP6" s="19">
        <v>423.15</v>
      </c>
      <c r="AQ6" s="4">
        <v>1.0997380658000001E-2</v>
      </c>
      <c r="AR6" s="10" t="e">
        <f t="shared" si="7"/>
        <v>#VALUE!</v>
      </c>
      <c r="AS6" s="1"/>
      <c r="AT6" s="3">
        <v>3676.21</v>
      </c>
      <c r="AU6" s="19">
        <v>448.15</v>
      </c>
      <c r="AV6" s="4">
        <v>9.1567966270000006E-3</v>
      </c>
      <c r="AW6" s="10" t="e">
        <f>ws_direct_ads_w_pT(AT6,AU6,$E$25,$E$26,$E$27,$E$28,$N$28,$E$29,$N$29,$E$30,$N$30)</f>
        <v>#VALUE!</v>
      </c>
    </row>
    <row r="7" spans="1:49" x14ac:dyDescent="0.45">
      <c r="A7" s="3">
        <v>1145.7</v>
      </c>
      <c r="B7" s="19">
        <v>228.14999999999998</v>
      </c>
      <c r="C7" s="4">
        <v>0.21153359018000001</v>
      </c>
      <c r="D7" s="10" t="e">
        <f>ws_direct_ads_w_pT(A7,B7,$E$25,$E$26,$E$27,$E$28,$N$28,$E$29,$N$29,$E$30,$N$30)</f>
        <v>#VALUE!</v>
      </c>
      <c r="E7" s="1"/>
      <c r="F7" s="3">
        <v>433.64100000000002</v>
      </c>
      <c r="G7" s="19">
        <v>248.14999999999998</v>
      </c>
      <c r="H7" s="4">
        <v>0.12210763928000001</v>
      </c>
      <c r="I7" s="10" t="e">
        <f t="shared" si="0"/>
        <v>#VALUE!</v>
      </c>
      <c r="J7" s="1"/>
      <c r="K7" s="3">
        <v>776.77499999999998</v>
      </c>
      <c r="L7" s="19">
        <v>273.14999999999998</v>
      </c>
      <c r="M7" s="4">
        <v>8.4654718389999994E-2</v>
      </c>
      <c r="N7" s="10" t="e">
        <f t="shared" si="1"/>
        <v>#VALUE!</v>
      </c>
      <c r="O7" s="1"/>
      <c r="P7" s="3">
        <v>157.875</v>
      </c>
      <c r="Q7" s="19">
        <v>298.14999999999998</v>
      </c>
      <c r="R7" s="4">
        <v>2.5405349750000004E-2</v>
      </c>
      <c r="S7" s="10" t="e">
        <f t="shared" si="2"/>
        <v>#VALUE!</v>
      </c>
      <c r="T7" s="1"/>
      <c r="U7" s="3">
        <v>1238.3</v>
      </c>
      <c r="V7" s="19">
        <v>323.14999999999998</v>
      </c>
      <c r="W7" s="4">
        <v>3.3003584834000003E-2</v>
      </c>
      <c r="X7" s="10" t="e">
        <f t="shared" si="3"/>
        <v>#VALUE!</v>
      </c>
      <c r="Y7" s="1"/>
      <c r="Z7" s="3">
        <v>2693.89</v>
      </c>
      <c r="AA7" s="19">
        <v>348.15</v>
      </c>
      <c r="AB7" s="4">
        <v>3.0511990091000005E-2</v>
      </c>
      <c r="AC7" s="10" t="e">
        <f t="shared" si="4"/>
        <v>#VALUE!</v>
      </c>
      <c r="AD7" s="1"/>
      <c r="AE7" s="3">
        <v>3401.3</v>
      </c>
      <c r="AF7" s="19">
        <v>373.15</v>
      </c>
      <c r="AG7" s="4">
        <v>1.6715025712000002E-2</v>
      </c>
      <c r="AH7" s="10" t="e">
        <f t="shared" si="5"/>
        <v>#VALUE!</v>
      </c>
      <c r="AI7" s="1"/>
      <c r="AJ7" s="3">
        <v>3271.66</v>
      </c>
      <c r="AK7" s="19">
        <v>398.15</v>
      </c>
      <c r="AL7" s="4">
        <v>1.6715025712000002E-2</v>
      </c>
      <c r="AM7" s="10" t="e">
        <f t="shared" si="6"/>
        <v>#VALUE!</v>
      </c>
      <c r="AN7" s="1"/>
      <c r="AO7" s="3">
        <v>4464.67</v>
      </c>
      <c r="AP7" s="19">
        <v>423.15</v>
      </c>
      <c r="AQ7" s="4">
        <v>1.4286454721E-2</v>
      </c>
      <c r="AR7" s="10" t="e">
        <f t="shared" si="7"/>
        <v>#VALUE!</v>
      </c>
      <c r="AS7" s="1"/>
      <c r="AT7" s="3">
        <v>5637.09</v>
      </c>
      <c r="AU7" s="19">
        <v>448.15</v>
      </c>
      <c r="AV7" s="4">
        <v>1.1588184321999999E-2</v>
      </c>
      <c r="AW7" s="10" t="e">
        <f>ws_direct_ads_w_pT(AT7,AU7,$E$25,$E$26,$E$27,$E$28,$N$28,$E$29,$N$29,$E$30,$N$30)</f>
        <v>#VALUE!</v>
      </c>
    </row>
    <row r="8" spans="1:49" x14ac:dyDescent="0.45">
      <c r="A8" s="3"/>
      <c r="B8" s="19"/>
      <c r="C8" s="4"/>
      <c r="D8" s="10"/>
      <c r="E8" s="1"/>
      <c r="F8" s="3">
        <v>1019.62</v>
      </c>
      <c r="G8" s="19">
        <v>248.14999999999998</v>
      </c>
      <c r="H8" s="4">
        <v>0.15054006561000002</v>
      </c>
      <c r="I8" s="10" t="e">
        <f t="shared" si="0"/>
        <v>#VALUE!</v>
      </c>
      <c r="J8" s="1"/>
      <c r="K8" s="3">
        <v>1826.43</v>
      </c>
      <c r="L8" s="19">
        <v>273.14999999999998</v>
      </c>
      <c r="M8" s="4">
        <v>0.11288909522000001</v>
      </c>
      <c r="N8" s="10" t="e">
        <f t="shared" si="1"/>
        <v>#VALUE!</v>
      </c>
      <c r="O8" s="1"/>
      <c r="P8" s="3">
        <v>232.857</v>
      </c>
      <c r="Q8" s="19">
        <v>298.14999999999998</v>
      </c>
      <c r="R8" s="4">
        <v>2.9723973136E-2</v>
      </c>
      <c r="S8" s="10" t="e">
        <f t="shared" si="2"/>
        <v>#VALUE!</v>
      </c>
      <c r="T8" s="1"/>
      <c r="U8" s="3">
        <v>2800.64</v>
      </c>
      <c r="V8" s="19">
        <v>323.14999999999998</v>
      </c>
      <c r="W8" s="4">
        <v>4.8867173740000006E-2</v>
      </c>
      <c r="X8" s="10" t="e">
        <f t="shared" si="3"/>
        <v>#VALUE!</v>
      </c>
      <c r="Y8" s="1"/>
      <c r="Z8" s="3">
        <v>5215.54</v>
      </c>
      <c r="AA8" s="19">
        <v>348.15</v>
      </c>
      <c r="AB8" s="4">
        <v>4.1767055154000005E-2</v>
      </c>
      <c r="AC8" s="10" t="e">
        <f t="shared" si="4"/>
        <v>#VALUE!</v>
      </c>
      <c r="AD8" s="1"/>
      <c r="AE8" s="3">
        <v>6092.7</v>
      </c>
      <c r="AF8" s="19">
        <v>373.15</v>
      </c>
      <c r="AG8" s="4">
        <v>2.1153359018000004E-2</v>
      </c>
      <c r="AH8" s="10" t="e">
        <f t="shared" si="5"/>
        <v>#VALUE!</v>
      </c>
      <c r="AI8" s="1"/>
      <c r="AJ8" s="3">
        <v>6092.7</v>
      </c>
      <c r="AK8" s="19">
        <v>398.15</v>
      </c>
      <c r="AL8" s="4">
        <v>2.1714147180000001E-2</v>
      </c>
      <c r="AM8" s="10" t="e">
        <f t="shared" si="6"/>
        <v>#VALUE!</v>
      </c>
      <c r="AN8" s="1"/>
      <c r="AO8" s="3">
        <v>7692.65</v>
      </c>
      <c r="AP8" s="19">
        <v>423.15</v>
      </c>
      <c r="AQ8" s="4">
        <v>1.7613026156000001E-2</v>
      </c>
      <c r="AR8" s="10" t="e">
        <f t="shared" si="7"/>
        <v>#VALUE!</v>
      </c>
      <c r="AS8" s="1"/>
      <c r="AT8" s="3">
        <v>9342.52</v>
      </c>
      <c r="AU8" s="19">
        <v>448.15</v>
      </c>
      <c r="AV8" s="4">
        <v>1.4665213387E-2</v>
      </c>
      <c r="AW8" s="10" t="e">
        <f>ws_direct_ads_w_pT(AT8,AU8,$E$25,$E$26,$E$27,$E$28,$N$28,$E$29,$N$29,$E$30,$N$30)</f>
        <v>#VALUE!</v>
      </c>
    </row>
    <row r="9" spans="1:49" x14ac:dyDescent="0.45">
      <c r="A9" s="3"/>
      <c r="B9" s="19"/>
      <c r="C9" s="4"/>
      <c r="D9" s="10"/>
      <c r="E9" s="1"/>
      <c r="F9" s="3">
        <v>2052.2800000000002</v>
      </c>
      <c r="G9" s="19">
        <v>248.14999999999998</v>
      </c>
      <c r="H9" s="4">
        <v>0.18079982865999999</v>
      </c>
      <c r="I9" s="10" t="e">
        <f t="shared" si="0"/>
        <v>#VALUE!</v>
      </c>
      <c r="J9" s="1"/>
      <c r="K9" s="3">
        <v>4130.8</v>
      </c>
      <c r="L9" s="19">
        <v>273.14999999999998</v>
      </c>
      <c r="M9" s="4">
        <v>0.14286454721000003</v>
      </c>
      <c r="N9" s="10" t="e">
        <f t="shared" si="1"/>
        <v>#VALUE!</v>
      </c>
      <c r="O9" s="1"/>
      <c r="P9" s="3">
        <v>343.45100000000002</v>
      </c>
      <c r="Q9" s="19">
        <v>298.14999999999998</v>
      </c>
      <c r="R9" s="4">
        <v>3.6645098985000006E-2</v>
      </c>
      <c r="S9" s="10" t="e">
        <f t="shared" si="2"/>
        <v>#VALUE!</v>
      </c>
      <c r="T9" s="1"/>
      <c r="U9" s="3">
        <v>6334.14</v>
      </c>
      <c r="V9" s="19">
        <v>323.14999999999998</v>
      </c>
      <c r="W9" s="4">
        <v>7.0486697270000009E-2</v>
      </c>
      <c r="X9" s="10" t="e">
        <f t="shared" si="3"/>
        <v>#VALUE!</v>
      </c>
      <c r="Y9" s="1"/>
      <c r="Z9" s="3">
        <v>11346.2</v>
      </c>
      <c r="AA9" s="19">
        <v>348.15</v>
      </c>
      <c r="AB9" s="4">
        <v>5.5697240830000008E-2</v>
      </c>
      <c r="AC9" s="10" t="e">
        <f t="shared" si="4"/>
        <v>#VALUE!</v>
      </c>
      <c r="AD9" s="1"/>
      <c r="AE9" s="3">
        <v>10497.8</v>
      </c>
      <c r="AF9" s="19">
        <v>373.15</v>
      </c>
      <c r="AG9" s="4">
        <v>2.7479940268000002E-2</v>
      </c>
      <c r="AH9" s="10" t="e">
        <f t="shared" si="5"/>
        <v>#VALUE!</v>
      </c>
      <c r="AI9" s="1"/>
      <c r="AJ9" s="3">
        <v>10913.8</v>
      </c>
      <c r="AK9" s="19">
        <v>398.15</v>
      </c>
      <c r="AL9" s="4">
        <v>2.8208454351000001E-2</v>
      </c>
      <c r="AM9" s="10" t="e">
        <f t="shared" si="6"/>
        <v>#VALUE!</v>
      </c>
      <c r="AN9" s="1"/>
      <c r="AO9" s="3">
        <v>13254.5</v>
      </c>
      <c r="AP9" s="19">
        <v>423.15</v>
      </c>
      <c r="AQ9" s="4">
        <v>2.348735037E-2</v>
      </c>
      <c r="AR9" s="10" t="e">
        <f t="shared" si="7"/>
        <v>#VALUE!</v>
      </c>
      <c r="AS9" s="1"/>
      <c r="AT9" s="3"/>
      <c r="AU9" s="19"/>
      <c r="AV9" s="4"/>
      <c r="AW9" s="10"/>
    </row>
    <row r="10" spans="1:49" x14ac:dyDescent="0.45">
      <c r="A10" s="3"/>
      <c r="B10" s="19"/>
      <c r="C10" s="4"/>
      <c r="D10" s="10"/>
      <c r="E10" s="1"/>
      <c r="F10" s="3">
        <v>8986.42</v>
      </c>
      <c r="G10" s="19">
        <v>248.14999999999998</v>
      </c>
      <c r="H10" s="4">
        <v>0.21714147180000001</v>
      </c>
      <c r="I10" s="10" t="e">
        <f t="shared" si="0"/>
        <v>#VALUE!</v>
      </c>
      <c r="J10" s="1"/>
      <c r="K10" s="3">
        <v>7117.39</v>
      </c>
      <c r="L10" s="19">
        <v>273.14999999999998</v>
      </c>
      <c r="M10" s="4">
        <v>0.16715025712000003</v>
      </c>
      <c r="N10" s="10" t="e">
        <f t="shared" si="1"/>
        <v>#VALUE!</v>
      </c>
      <c r="O10" s="1"/>
      <c r="P10" s="3">
        <v>417.11200000000002</v>
      </c>
      <c r="Q10" s="19">
        <v>298.14999999999998</v>
      </c>
      <c r="R10" s="4">
        <v>3.6645098985000006E-2</v>
      </c>
      <c r="S10" s="10" t="e">
        <f t="shared" si="2"/>
        <v>#VALUE!</v>
      </c>
      <c r="T10" s="1"/>
      <c r="U10" s="3">
        <v>10913.8</v>
      </c>
      <c r="V10" s="19">
        <v>323.14999999999998</v>
      </c>
      <c r="W10" s="4">
        <v>8.689927939E-2</v>
      </c>
      <c r="X10" s="10" t="e">
        <f t="shared" si="3"/>
        <v>#VALUE!</v>
      </c>
      <c r="Y10" s="1"/>
      <c r="Z10" s="3">
        <v>18087.7</v>
      </c>
      <c r="AA10" s="19">
        <v>348.15</v>
      </c>
      <c r="AB10" s="4">
        <v>7.0486697270000009E-2</v>
      </c>
      <c r="AC10" s="10" t="e">
        <f t="shared" si="4"/>
        <v>#VALUE!</v>
      </c>
      <c r="AD10" s="1"/>
      <c r="AE10" s="3">
        <v>20324.400000000001</v>
      </c>
      <c r="AF10" s="19">
        <v>373.15</v>
      </c>
      <c r="AG10" s="4">
        <v>3.4776700002000005E-2</v>
      </c>
      <c r="AH10" s="10" t="e">
        <f t="shared" si="5"/>
        <v>#VALUE!</v>
      </c>
      <c r="AI10" s="1"/>
      <c r="AJ10" s="3">
        <v>20324.400000000001</v>
      </c>
      <c r="AK10" s="19">
        <v>398.15</v>
      </c>
      <c r="AL10" s="4">
        <v>3.4776700002000005E-2</v>
      </c>
      <c r="AM10" s="10" t="e">
        <f t="shared" si="6"/>
        <v>#VALUE!</v>
      </c>
      <c r="AN10" s="1"/>
      <c r="AO10" s="3">
        <v>22837.599999999999</v>
      </c>
      <c r="AP10" s="19">
        <v>423.15</v>
      </c>
      <c r="AQ10" s="4">
        <v>2.9723973136E-2</v>
      </c>
      <c r="AR10" s="10" t="e">
        <f t="shared" si="7"/>
        <v>#VALUE!</v>
      </c>
      <c r="AS10" s="1"/>
      <c r="AT10" s="3"/>
      <c r="AU10" s="19"/>
      <c r="AV10" s="4"/>
      <c r="AW10" s="10"/>
    </row>
    <row r="11" spans="1:49" x14ac:dyDescent="0.45">
      <c r="A11" s="3"/>
      <c r="B11" s="19"/>
      <c r="C11" s="4"/>
      <c r="D11" s="10"/>
      <c r="E11" s="1"/>
      <c r="F11" s="3"/>
      <c r="G11" s="19"/>
      <c r="H11" s="4"/>
      <c r="I11" s="10"/>
      <c r="J11" s="1"/>
      <c r="K11" s="3">
        <v>18804.5</v>
      </c>
      <c r="L11" s="19">
        <v>273.14999999999998</v>
      </c>
      <c r="M11" s="4">
        <v>0.20074825452000003</v>
      </c>
      <c r="N11" s="10" t="e">
        <f t="shared" si="1"/>
        <v>#VALUE!</v>
      </c>
      <c r="O11" s="1"/>
      <c r="P11" s="3">
        <v>776.77499999999998</v>
      </c>
      <c r="Q11" s="19">
        <v>298.14999999999998</v>
      </c>
      <c r="R11" s="4">
        <v>5.1492429890000004E-2</v>
      </c>
      <c r="S11" s="10" t="e">
        <f t="shared" si="2"/>
        <v>#VALUE!</v>
      </c>
      <c r="T11" s="1"/>
      <c r="U11" s="3">
        <v>19549.7</v>
      </c>
      <c r="V11" s="19">
        <v>323.14999999999998</v>
      </c>
      <c r="W11" s="4">
        <v>0.10713333664000001</v>
      </c>
      <c r="X11" s="10" t="e">
        <f t="shared" si="3"/>
        <v>#VALUE!</v>
      </c>
      <c r="Y11" s="1"/>
      <c r="Z11" s="3"/>
      <c r="AA11" s="19"/>
      <c r="AB11" s="4"/>
      <c r="AC11" s="10"/>
      <c r="AD11" s="1"/>
      <c r="AE11" s="3"/>
      <c r="AF11" s="19"/>
      <c r="AG11" s="4"/>
      <c r="AH11" s="10"/>
      <c r="AI11" s="1"/>
      <c r="AJ11" s="3"/>
      <c r="AK11" s="19"/>
      <c r="AL11" s="4"/>
      <c r="AM11" s="10"/>
      <c r="AN11" s="1"/>
      <c r="AO11" s="3"/>
      <c r="AP11" s="19"/>
      <c r="AQ11" s="4"/>
      <c r="AR11" s="10"/>
      <c r="AS11" s="1"/>
      <c r="AT11" s="3"/>
      <c r="AU11" s="19"/>
      <c r="AV11" s="4"/>
      <c r="AW11" s="10"/>
    </row>
    <row r="12" spans="1:49" x14ac:dyDescent="0.45">
      <c r="A12" s="3"/>
      <c r="B12" s="1"/>
      <c r="C12" s="4"/>
      <c r="D12" s="10"/>
      <c r="E12" s="1"/>
      <c r="F12" s="3"/>
      <c r="G12" s="19"/>
      <c r="H12" s="4"/>
      <c r="I12" s="10"/>
      <c r="J12" s="1"/>
      <c r="K12" s="3"/>
      <c r="L12" s="19"/>
      <c r="M12" s="4"/>
      <c r="N12" s="10"/>
      <c r="O12" s="1"/>
      <c r="P12" s="3">
        <v>1060.03</v>
      </c>
      <c r="Q12" s="19">
        <v>298.14999999999998</v>
      </c>
      <c r="R12" s="4">
        <v>5.2857651110000001E-2</v>
      </c>
      <c r="S12" s="10" t="e">
        <f t="shared" si="2"/>
        <v>#VALUE!</v>
      </c>
      <c r="T12" s="1"/>
      <c r="U12" s="3">
        <v>42529.7</v>
      </c>
      <c r="V12" s="19">
        <v>323.14999999999998</v>
      </c>
      <c r="W12" s="4">
        <v>0.13917510508</v>
      </c>
      <c r="X12" s="10" t="e">
        <f t="shared" si="3"/>
        <v>#VALUE!</v>
      </c>
      <c r="Y12" s="1"/>
      <c r="Z12" s="3"/>
      <c r="AA12" s="19"/>
      <c r="AB12" s="4"/>
      <c r="AC12" s="10"/>
      <c r="AD12" s="1"/>
      <c r="AE12" s="3"/>
      <c r="AF12" s="19"/>
      <c r="AG12" s="4"/>
      <c r="AH12" s="10"/>
      <c r="AI12" s="1"/>
      <c r="AJ12" s="3"/>
      <c r="AK12" s="19"/>
      <c r="AL12" s="4"/>
      <c r="AM12" s="10"/>
      <c r="AN12" s="1"/>
      <c r="AO12" s="3"/>
      <c r="AP12" s="19"/>
      <c r="AQ12" s="4"/>
      <c r="AR12" s="10"/>
      <c r="AS12" s="1"/>
      <c r="AT12" s="3"/>
      <c r="AU12" s="19"/>
      <c r="AV12" s="4"/>
      <c r="AW12" s="10"/>
    </row>
    <row r="13" spans="1:49" x14ac:dyDescent="0.45">
      <c r="A13" s="3"/>
      <c r="B13" s="1"/>
      <c r="C13" s="4"/>
      <c r="D13" s="10"/>
      <c r="E13" s="1"/>
      <c r="F13" s="3"/>
      <c r="G13" s="19"/>
      <c r="H13" s="4"/>
      <c r="I13" s="10"/>
      <c r="J13" s="1"/>
      <c r="K13" s="3"/>
      <c r="L13" s="19"/>
      <c r="M13" s="4"/>
      <c r="N13" s="10"/>
      <c r="O13" s="1"/>
      <c r="P13" s="3">
        <v>2397.4299999999998</v>
      </c>
      <c r="Q13" s="19">
        <v>298.14999999999998</v>
      </c>
      <c r="R13" s="4">
        <v>7.0486697270000009E-2</v>
      </c>
      <c r="S13" s="10" t="e">
        <f t="shared" si="2"/>
        <v>#VALUE!</v>
      </c>
      <c r="T13" s="1"/>
      <c r="U13" s="3"/>
      <c r="V13" s="19"/>
      <c r="W13" s="4"/>
      <c r="X13" s="10"/>
      <c r="Y13" s="1"/>
      <c r="Z13" s="3"/>
      <c r="AA13" s="19"/>
      <c r="AB13" s="4"/>
      <c r="AC13" s="10"/>
      <c r="AD13" s="1"/>
      <c r="AE13" s="3"/>
      <c r="AF13" s="19"/>
      <c r="AG13" s="4"/>
      <c r="AH13" s="10"/>
      <c r="AI13" s="1"/>
      <c r="AJ13" s="3"/>
      <c r="AK13" s="19"/>
      <c r="AL13" s="4"/>
      <c r="AM13" s="10"/>
      <c r="AN13" s="1"/>
      <c r="AO13" s="3"/>
      <c r="AP13" s="19"/>
      <c r="AQ13" s="4"/>
      <c r="AR13" s="10"/>
      <c r="AS13" s="1"/>
      <c r="AT13" s="3"/>
      <c r="AU13" s="19"/>
      <c r="AV13" s="4"/>
      <c r="AW13" s="10"/>
    </row>
    <row r="14" spans="1:49" x14ac:dyDescent="0.45">
      <c r="A14" s="3"/>
      <c r="B14" s="1"/>
      <c r="C14" s="4"/>
      <c r="D14" s="10"/>
      <c r="E14" s="1"/>
      <c r="F14" s="3"/>
      <c r="G14" s="19"/>
      <c r="H14" s="4"/>
      <c r="I14" s="10"/>
      <c r="J14" s="1"/>
      <c r="K14" s="3"/>
      <c r="L14" s="19"/>
      <c r="M14" s="4"/>
      <c r="N14" s="10"/>
      <c r="O14" s="1"/>
      <c r="P14" s="3">
        <v>2693.89</v>
      </c>
      <c r="Q14" s="19">
        <v>298.14999999999998</v>
      </c>
      <c r="R14" s="4">
        <v>8.0338559620000013E-2</v>
      </c>
      <c r="S14" s="10" t="e">
        <f t="shared" si="2"/>
        <v>#VALUE!</v>
      </c>
      <c r="T14" s="1"/>
      <c r="U14" s="3"/>
      <c r="V14" s="19"/>
      <c r="W14" s="4"/>
      <c r="X14" s="10"/>
      <c r="Y14" s="1"/>
      <c r="Z14" s="3"/>
      <c r="AA14" s="19"/>
      <c r="AB14" s="4"/>
      <c r="AC14" s="10"/>
      <c r="AD14" s="1"/>
      <c r="AE14" s="3"/>
      <c r="AF14" s="19"/>
      <c r="AG14" s="4"/>
      <c r="AH14" s="10"/>
      <c r="AI14" s="1"/>
      <c r="AJ14" s="3"/>
      <c r="AK14" s="19"/>
      <c r="AL14" s="4"/>
      <c r="AM14" s="10"/>
      <c r="AN14" s="1"/>
      <c r="AO14" s="3"/>
      <c r="AP14" s="19"/>
      <c r="AQ14" s="4"/>
      <c r="AR14" s="10"/>
      <c r="AS14" s="1"/>
      <c r="AT14" s="3"/>
      <c r="AU14" s="19"/>
      <c r="AV14" s="4"/>
      <c r="AW14" s="10"/>
    </row>
    <row r="15" spans="1:49" x14ac:dyDescent="0.45">
      <c r="A15" s="3"/>
      <c r="B15" s="1"/>
      <c r="C15" s="4"/>
      <c r="D15" s="10"/>
      <c r="E15" s="1"/>
      <c r="F15" s="3"/>
      <c r="G15" s="19"/>
      <c r="H15" s="4"/>
      <c r="I15" s="10"/>
      <c r="J15" s="1"/>
      <c r="K15" s="3"/>
      <c r="L15" s="19"/>
      <c r="M15" s="4"/>
      <c r="N15" s="10"/>
      <c r="O15" s="1"/>
      <c r="P15" s="3">
        <v>3973.34</v>
      </c>
      <c r="Q15" s="19">
        <v>298.14999999999998</v>
      </c>
      <c r="R15" s="4">
        <v>9.1567966269999995E-2</v>
      </c>
      <c r="S15" s="10" t="e">
        <f t="shared" si="2"/>
        <v>#VALUE!</v>
      </c>
      <c r="T15" s="1"/>
      <c r="U15" s="3"/>
      <c r="V15" s="19"/>
      <c r="W15" s="4"/>
      <c r="X15" s="10"/>
      <c r="Y15" s="1"/>
      <c r="Z15" s="3"/>
      <c r="AA15" s="19"/>
      <c r="AB15" s="4"/>
      <c r="AC15" s="10"/>
      <c r="AD15" s="1"/>
      <c r="AE15" s="3"/>
      <c r="AF15" s="19"/>
      <c r="AG15" s="4"/>
      <c r="AH15" s="10"/>
      <c r="AI15" s="1"/>
      <c r="AJ15" s="3"/>
      <c r="AK15" s="19"/>
      <c r="AL15" s="4"/>
      <c r="AM15" s="10"/>
      <c r="AN15" s="1"/>
      <c r="AO15" s="3"/>
      <c r="AP15" s="19"/>
      <c r="AQ15" s="4"/>
      <c r="AR15" s="10"/>
      <c r="AS15" s="1"/>
      <c r="AT15" s="3"/>
      <c r="AU15" s="19"/>
      <c r="AV15" s="4"/>
      <c r="AW15" s="10"/>
    </row>
    <row r="16" spans="1:49" x14ac:dyDescent="0.45">
      <c r="A16" s="3"/>
      <c r="B16" s="1"/>
      <c r="C16" s="4"/>
      <c r="D16" s="10"/>
      <c r="E16" s="1"/>
      <c r="F16" s="3"/>
      <c r="G16" s="19"/>
      <c r="H16" s="4"/>
      <c r="I16" s="10"/>
      <c r="J16" s="1"/>
      <c r="K16" s="3"/>
      <c r="L16" s="19"/>
      <c r="M16" s="4"/>
      <c r="N16" s="10"/>
      <c r="O16" s="1"/>
      <c r="P16" s="3">
        <v>5422.22</v>
      </c>
      <c r="Q16" s="19">
        <v>298.14999999999998</v>
      </c>
      <c r="R16" s="4">
        <v>0.10167113143000001</v>
      </c>
      <c r="S16" s="10" t="e">
        <f t="shared" si="2"/>
        <v>#VALUE!</v>
      </c>
      <c r="T16" s="1"/>
      <c r="U16" s="3"/>
      <c r="V16" s="19"/>
      <c r="W16" s="4"/>
      <c r="X16" s="10"/>
      <c r="Y16" s="1"/>
      <c r="Z16" s="3"/>
      <c r="AA16" s="19"/>
      <c r="AB16" s="4"/>
      <c r="AC16" s="10"/>
      <c r="AD16" s="1"/>
      <c r="AE16" s="3"/>
      <c r="AF16" s="19"/>
      <c r="AG16" s="4"/>
      <c r="AH16" s="10"/>
      <c r="AI16" s="1"/>
      <c r="AJ16" s="3"/>
      <c r="AK16" s="19"/>
      <c r="AL16" s="4"/>
      <c r="AM16" s="10"/>
      <c r="AN16" s="1"/>
      <c r="AO16" s="3"/>
      <c r="AP16" s="19"/>
      <c r="AQ16" s="4"/>
      <c r="AR16" s="10"/>
      <c r="AS16" s="1"/>
      <c r="AT16" s="3"/>
      <c r="AU16" s="19"/>
      <c r="AV16" s="4"/>
      <c r="AW16" s="10"/>
    </row>
    <row r="17" spans="1:49" x14ac:dyDescent="0.45">
      <c r="A17" s="3"/>
      <c r="B17" s="1"/>
      <c r="C17" s="4"/>
      <c r="D17" s="10"/>
      <c r="E17" s="1"/>
      <c r="F17" s="3"/>
      <c r="G17" s="19"/>
      <c r="H17" s="4"/>
      <c r="I17" s="10"/>
      <c r="J17" s="1"/>
      <c r="K17" s="3"/>
      <c r="L17" s="19"/>
      <c r="M17" s="4"/>
      <c r="N17" s="10"/>
      <c r="O17" s="1"/>
      <c r="P17" s="3">
        <v>10913.8</v>
      </c>
      <c r="Q17" s="19">
        <v>298.14999999999998</v>
      </c>
      <c r="R17" s="4">
        <v>0.12866791894000001</v>
      </c>
      <c r="S17" s="10" t="e">
        <f t="shared" si="2"/>
        <v>#VALUE!</v>
      </c>
      <c r="T17" s="1"/>
      <c r="U17" s="3"/>
      <c r="V17" s="19"/>
      <c r="W17" s="4"/>
      <c r="X17" s="10"/>
      <c r="Y17" s="1"/>
      <c r="Z17" s="3"/>
      <c r="AA17" s="19"/>
      <c r="AB17" s="4"/>
      <c r="AC17" s="10"/>
      <c r="AD17" s="1"/>
      <c r="AE17" s="3"/>
      <c r="AF17" s="19"/>
      <c r="AG17" s="4"/>
      <c r="AH17" s="10"/>
      <c r="AI17" s="1"/>
      <c r="AJ17" s="3"/>
      <c r="AK17" s="19"/>
      <c r="AL17" s="4"/>
      <c r="AM17" s="10"/>
      <c r="AN17" s="1"/>
      <c r="AO17" s="3"/>
      <c r="AP17" s="19"/>
      <c r="AQ17" s="4"/>
      <c r="AR17" s="10"/>
      <c r="AS17" s="1"/>
      <c r="AT17" s="3"/>
      <c r="AU17" s="19"/>
      <c r="AV17" s="4"/>
      <c r="AW17" s="10"/>
    </row>
    <row r="18" spans="1:49" x14ac:dyDescent="0.45">
      <c r="A18" s="3"/>
      <c r="B18" s="1"/>
      <c r="C18" s="4"/>
      <c r="D18" s="10"/>
      <c r="E18" s="1"/>
      <c r="F18" s="3"/>
      <c r="G18" s="19"/>
      <c r="H18" s="4"/>
      <c r="I18" s="10"/>
      <c r="J18" s="1"/>
      <c r="K18" s="3"/>
      <c r="L18" s="19"/>
      <c r="M18" s="4"/>
      <c r="N18" s="10"/>
      <c r="O18" s="1"/>
      <c r="P18" s="3">
        <v>16735.099999999999</v>
      </c>
      <c r="Q18" s="19">
        <v>298.14999999999998</v>
      </c>
      <c r="R18" s="4">
        <v>0.14665213387000001</v>
      </c>
      <c r="S18" s="10" t="e">
        <f t="shared" si="2"/>
        <v>#VALUE!</v>
      </c>
      <c r="T18" s="1"/>
      <c r="U18" s="3"/>
      <c r="V18" s="19"/>
      <c r="W18" s="4"/>
      <c r="X18" s="10"/>
      <c r="Y18" s="1"/>
      <c r="Z18" s="3"/>
      <c r="AA18" s="19"/>
      <c r="AB18" s="4"/>
      <c r="AC18" s="10"/>
      <c r="AD18" s="1"/>
      <c r="AE18" s="3"/>
      <c r="AF18" s="19"/>
      <c r="AG18" s="4"/>
      <c r="AH18" s="10"/>
      <c r="AI18" s="1"/>
      <c r="AJ18" s="3"/>
      <c r="AK18" s="19"/>
      <c r="AL18" s="4"/>
      <c r="AM18" s="10"/>
      <c r="AN18" s="1"/>
      <c r="AO18" s="3"/>
      <c r="AP18" s="19"/>
      <c r="AQ18" s="4"/>
      <c r="AR18" s="10"/>
      <c r="AS18" s="1"/>
      <c r="AT18" s="3"/>
      <c r="AU18" s="19"/>
      <c r="AV18" s="4"/>
      <c r="AW18" s="10"/>
    </row>
    <row r="19" spans="1:49" x14ac:dyDescent="0.45">
      <c r="A19" s="3"/>
      <c r="B19" s="1"/>
      <c r="C19" s="4"/>
      <c r="D19" s="10"/>
      <c r="E19" s="1"/>
      <c r="F19" s="3"/>
      <c r="G19" s="19"/>
      <c r="H19" s="4"/>
      <c r="I19" s="10"/>
      <c r="J19" s="1"/>
      <c r="K19" s="3"/>
      <c r="L19" s="19"/>
      <c r="M19" s="4"/>
      <c r="N19" s="10"/>
      <c r="O19" s="1"/>
      <c r="P19" s="3">
        <v>27735.599999999999</v>
      </c>
      <c r="Q19" s="19">
        <v>298.14999999999998</v>
      </c>
      <c r="R19" s="4">
        <v>0.16715025712000003</v>
      </c>
      <c r="S19" s="10" t="e">
        <f t="shared" si="2"/>
        <v>#VALUE!</v>
      </c>
      <c r="T19" s="1"/>
      <c r="U19" s="3"/>
      <c r="V19" s="19"/>
      <c r="W19" s="4"/>
      <c r="X19" s="10"/>
      <c r="Y19" s="1"/>
      <c r="Z19" s="3"/>
      <c r="AA19" s="19"/>
      <c r="AB19" s="4"/>
      <c r="AC19" s="10"/>
      <c r="AD19" s="1"/>
      <c r="AE19" s="3"/>
      <c r="AF19" s="19"/>
      <c r="AG19" s="4"/>
      <c r="AH19" s="10"/>
      <c r="AI19" s="1"/>
      <c r="AJ19" s="3"/>
      <c r="AK19" s="19"/>
      <c r="AL19" s="4"/>
      <c r="AM19" s="10"/>
      <c r="AN19" s="1"/>
      <c r="AO19" s="3"/>
      <c r="AP19" s="19"/>
      <c r="AQ19" s="4"/>
      <c r="AR19" s="10"/>
      <c r="AS19" s="1"/>
      <c r="AT19" s="3"/>
      <c r="AU19" s="15"/>
      <c r="AV19" s="4"/>
      <c r="AW19" s="10"/>
    </row>
    <row r="20" spans="1:49" x14ac:dyDescent="0.45">
      <c r="A20" s="3"/>
      <c r="B20" s="1"/>
      <c r="C20" s="4"/>
      <c r="D20" s="10"/>
      <c r="E20" s="1"/>
      <c r="F20" s="3"/>
      <c r="G20" s="19"/>
      <c r="H20" s="4"/>
      <c r="I20" s="10"/>
      <c r="J20" s="1"/>
      <c r="K20" s="3"/>
      <c r="L20" s="19"/>
      <c r="M20" s="4"/>
      <c r="N20" s="10"/>
      <c r="O20" s="1"/>
      <c r="P20" s="3">
        <v>39349.300000000003</v>
      </c>
      <c r="Q20" s="19">
        <v>298.14999999999998</v>
      </c>
      <c r="R20" s="4">
        <v>0.17158128459999999</v>
      </c>
      <c r="S20" s="10" t="e">
        <f t="shared" si="2"/>
        <v>#VALUE!</v>
      </c>
      <c r="T20" s="1"/>
      <c r="U20" s="3"/>
      <c r="V20" s="19"/>
      <c r="W20" s="4"/>
      <c r="X20" s="10"/>
      <c r="Y20" s="1"/>
      <c r="Z20" s="3"/>
      <c r="AA20" s="19"/>
      <c r="AB20" s="4"/>
      <c r="AC20" s="10"/>
      <c r="AD20" s="1"/>
      <c r="AE20" s="3"/>
      <c r="AF20" s="19"/>
      <c r="AG20" s="4"/>
      <c r="AH20" s="10"/>
      <c r="AI20" s="1"/>
      <c r="AJ20" s="3"/>
      <c r="AK20" s="19"/>
      <c r="AL20" s="4"/>
      <c r="AM20" s="10"/>
      <c r="AN20" s="1"/>
      <c r="AO20" s="3"/>
      <c r="AP20" s="15"/>
      <c r="AQ20" s="4"/>
      <c r="AR20" s="10"/>
      <c r="AS20" s="1"/>
      <c r="AT20" s="3"/>
      <c r="AU20" s="15"/>
      <c r="AV20" s="4"/>
      <c r="AW20" s="10"/>
    </row>
    <row r="21" spans="1:49" x14ac:dyDescent="0.45">
      <c r="A21" s="3"/>
      <c r="B21" s="1"/>
      <c r="C21" s="4"/>
      <c r="D21" s="10"/>
      <c r="E21" s="1"/>
      <c r="F21" s="3"/>
      <c r="G21" s="19"/>
      <c r="H21" s="4"/>
      <c r="I21" s="10"/>
      <c r="J21" s="1"/>
      <c r="K21" s="3"/>
      <c r="L21" s="19"/>
      <c r="M21" s="4"/>
      <c r="N21" s="10"/>
      <c r="O21" s="1"/>
      <c r="P21" s="3">
        <v>58038.1</v>
      </c>
      <c r="Q21" s="19">
        <v>298.14999999999998</v>
      </c>
      <c r="R21" s="4">
        <v>0.18559306667</v>
      </c>
      <c r="S21" s="10" t="e">
        <f t="shared" si="2"/>
        <v>#VALUE!</v>
      </c>
      <c r="T21" s="1"/>
      <c r="U21" s="3"/>
      <c r="V21" s="15"/>
      <c r="W21" s="4"/>
      <c r="X21" s="10"/>
      <c r="Y21" s="1"/>
      <c r="Z21" s="3"/>
      <c r="AA21" s="15"/>
      <c r="AB21" s="4"/>
      <c r="AC21" s="10"/>
      <c r="AD21" s="1"/>
      <c r="AE21" s="3"/>
      <c r="AF21" s="15"/>
      <c r="AG21" s="4"/>
      <c r="AH21" s="10"/>
      <c r="AI21" s="1"/>
      <c r="AJ21" s="3"/>
      <c r="AK21" s="15"/>
      <c r="AL21" s="4"/>
      <c r="AM21" s="10"/>
      <c r="AN21" s="1"/>
      <c r="AO21" s="3"/>
      <c r="AP21" s="15"/>
      <c r="AQ21" s="4"/>
      <c r="AR21" s="10"/>
      <c r="AS21" s="1"/>
      <c r="AT21" s="3"/>
      <c r="AU21" s="15"/>
      <c r="AV21" s="4"/>
      <c r="AW21" s="10"/>
    </row>
    <row r="22" spans="1:49" ht="14.65" thickBot="1" x14ac:dyDescent="0.5">
      <c r="A22" s="5"/>
      <c r="B22" s="2"/>
      <c r="C22" s="6"/>
      <c r="D22" s="11"/>
      <c r="E22" s="2"/>
      <c r="F22" s="5"/>
      <c r="G22" s="20"/>
      <c r="H22" s="6"/>
      <c r="I22" s="11"/>
      <c r="J22" s="2"/>
      <c r="K22" s="5"/>
      <c r="L22" s="20"/>
      <c r="M22" s="6"/>
      <c r="N22" s="11"/>
      <c r="O22" s="2"/>
      <c r="P22" s="5">
        <v>79201.600000000006</v>
      </c>
      <c r="Q22" s="20">
        <v>298.14999999999998</v>
      </c>
      <c r="R22" s="6">
        <v>0.20074825452000003</v>
      </c>
      <c r="S22" s="11" t="e">
        <f t="shared" si="2"/>
        <v>#VALUE!</v>
      </c>
      <c r="T22" s="2"/>
      <c r="U22" s="5"/>
      <c r="V22" s="26"/>
      <c r="W22" s="6"/>
      <c r="X22" s="11"/>
      <c r="Y22" s="2"/>
      <c r="Z22" s="5"/>
      <c r="AA22" s="26"/>
      <c r="AB22" s="6"/>
      <c r="AC22" s="11"/>
      <c r="AD22" s="2"/>
      <c r="AE22" s="5"/>
      <c r="AF22" s="26"/>
      <c r="AG22" s="6"/>
      <c r="AH22" s="11"/>
      <c r="AI22" s="2"/>
      <c r="AJ22" s="5"/>
      <c r="AK22" s="26"/>
      <c r="AL22" s="6"/>
      <c r="AM22" s="11"/>
      <c r="AN22" s="2"/>
      <c r="AO22" s="5"/>
      <c r="AP22" s="26"/>
      <c r="AQ22" s="6"/>
      <c r="AR22" s="11"/>
      <c r="AS22" s="2"/>
      <c r="AT22" s="5"/>
      <c r="AU22" s="26"/>
      <c r="AV22" s="6"/>
      <c r="AW22" s="11"/>
    </row>
    <row r="23" spans="1:49" ht="14.65" thickBot="1" x14ac:dyDescent="0.5"/>
    <row r="24" spans="1:49" ht="14.65" thickBot="1" x14ac:dyDescent="0.5">
      <c r="A24" s="171" t="s">
        <v>27</v>
      </c>
      <c r="B24" s="172"/>
      <c r="C24" s="172"/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2"/>
      <c r="AS24" s="172"/>
      <c r="AT24" s="172"/>
      <c r="AU24" s="172"/>
      <c r="AV24" s="172"/>
      <c r="AW24" s="173"/>
    </row>
    <row r="25" spans="1:49" x14ac:dyDescent="0.45">
      <c r="A25" s="179" t="s">
        <v>10</v>
      </c>
      <c r="B25" s="180"/>
      <c r="C25" s="180"/>
      <c r="D25" s="181"/>
      <c r="E25" s="191" t="s">
        <v>30</v>
      </c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192"/>
      <c r="X25" s="192"/>
      <c r="Y25" s="192"/>
      <c r="Z25" s="192"/>
      <c r="AA25" s="192"/>
      <c r="AB25" s="192"/>
      <c r="AC25" s="192"/>
      <c r="AD25" s="192"/>
      <c r="AE25" s="192"/>
      <c r="AF25" s="192"/>
      <c r="AG25" s="192"/>
      <c r="AH25" s="192"/>
      <c r="AI25" s="192"/>
      <c r="AJ25" s="192"/>
      <c r="AK25" s="192"/>
      <c r="AL25" s="192"/>
      <c r="AM25" s="192"/>
      <c r="AN25" s="192"/>
      <c r="AO25" s="192"/>
      <c r="AP25" s="192"/>
      <c r="AQ25" s="192"/>
      <c r="AR25" s="192"/>
      <c r="AS25" s="192"/>
      <c r="AT25" s="192"/>
      <c r="AU25" s="192"/>
      <c r="AV25" s="192"/>
      <c r="AW25" s="193"/>
    </row>
    <row r="26" spans="1:49" x14ac:dyDescent="0.45">
      <c r="A26" s="179" t="s">
        <v>12</v>
      </c>
      <c r="B26" s="180"/>
      <c r="C26" s="180"/>
      <c r="D26" s="181"/>
      <c r="E26" s="189" t="s">
        <v>131</v>
      </c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0"/>
      <c r="AD26" s="160"/>
      <c r="AE26" s="160"/>
      <c r="AF26" s="160"/>
      <c r="AG26" s="160"/>
      <c r="AH26" s="160"/>
      <c r="AI26" s="160"/>
      <c r="AJ26" s="160"/>
      <c r="AK26" s="160"/>
      <c r="AL26" s="160"/>
      <c r="AM26" s="160"/>
      <c r="AN26" s="160"/>
      <c r="AO26" s="160"/>
      <c r="AP26" s="160"/>
      <c r="AQ26" s="160"/>
      <c r="AR26" s="160"/>
      <c r="AS26" s="160"/>
      <c r="AT26" s="160"/>
      <c r="AU26" s="160"/>
      <c r="AV26" s="160"/>
      <c r="AW26" s="182"/>
    </row>
    <row r="27" spans="1:49" x14ac:dyDescent="0.45">
      <c r="A27" s="179" t="s">
        <v>14</v>
      </c>
      <c r="B27" s="180"/>
      <c r="C27" s="180"/>
      <c r="D27" s="181"/>
      <c r="E27" s="189" t="s">
        <v>15</v>
      </c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0"/>
      <c r="AD27" s="160"/>
      <c r="AE27" s="160"/>
      <c r="AF27" s="160"/>
      <c r="AG27" s="160"/>
      <c r="AH27" s="160"/>
      <c r="AI27" s="160"/>
      <c r="AJ27" s="160"/>
      <c r="AK27" s="160"/>
      <c r="AL27" s="160"/>
      <c r="AM27" s="160"/>
      <c r="AN27" s="160"/>
      <c r="AO27" s="160"/>
      <c r="AP27" s="160"/>
      <c r="AQ27" s="160"/>
      <c r="AR27" s="160"/>
      <c r="AS27" s="160"/>
      <c r="AT27" s="160"/>
      <c r="AU27" s="160"/>
      <c r="AV27" s="160"/>
      <c r="AW27" s="182"/>
    </row>
    <row r="28" spans="1:49" x14ac:dyDescent="0.45">
      <c r="A28" s="179" t="s">
        <v>16</v>
      </c>
      <c r="B28" s="180"/>
      <c r="C28" s="180"/>
      <c r="D28" s="181"/>
      <c r="E28" s="189" t="s">
        <v>32</v>
      </c>
      <c r="F28" s="160"/>
      <c r="G28" s="160"/>
      <c r="H28" s="160"/>
      <c r="I28" s="180" t="s">
        <v>24</v>
      </c>
      <c r="J28" s="180"/>
      <c r="K28" s="180"/>
      <c r="L28" s="180"/>
      <c r="M28" s="180"/>
      <c r="N28" s="160">
        <v>1</v>
      </c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0"/>
      <c r="AF28" s="160"/>
      <c r="AG28" s="160"/>
      <c r="AH28" s="160"/>
      <c r="AI28" s="160"/>
      <c r="AJ28" s="160"/>
      <c r="AK28" s="160"/>
      <c r="AL28" s="160"/>
      <c r="AM28" s="160"/>
      <c r="AN28" s="160"/>
      <c r="AO28" s="160"/>
      <c r="AP28" s="160"/>
      <c r="AQ28" s="160"/>
      <c r="AR28" s="160"/>
      <c r="AS28" s="160"/>
      <c r="AT28" s="160"/>
      <c r="AU28" s="160"/>
      <c r="AV28" s="160"/>
      <c r="AW28" s="182"/>
    </row>
    <row r="29" spans="1:49" x14ac:dyDescent="0.45">
      <c r="A29" s="179" t="s">
        <v>18</v>
      </c>
      <c r="B29" s="180"/>
      <c r="C29" s="180"/>
      <c r="D29" s="181"/>
      <c r="E29" s="189" t="s">
        <v>19</v>
      </c>
      <c r="F29" s="160"/>
      <c r="G29" s="160"/>
      <c r="H29" s="160"/>
      <c r="I29" s="180" t="s">
        <v>25</v>
      </c>
      <c r="J29" s="180"/>
      <c r="K29" s="180"/>
      <c r="L29" s="180"/>
      <c r="M29" s="180"/>
      <c r="N29" s="160">
        <v>1</v>
      </c>
      <c r="O29" s="160"/>
      <c r="P29" s="16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160"/>
      <c r="AL29" s="160"/>
      <c r="AM29" s="160"/>
      <c r="AN29" s="160"/>
      <c r="AO29" s="160"/>
      <c r="AP29" s="160"/>
      <c r="AQ29" s="160"/>
      <c r="AR29" s="160"/>
      <c r="AS29" s="160"/>
      <c r="AT29" s="160"/>
      <c r="AU29" s="160"/>
      <c r="AV29" s="160"/>
      <c r="AW29" s="182"/>
    </row>
    <row r="30" spans="1:49" ht="14.65" thickBot="1" x14ac:dyDescent="0.5">
      <c r="A30" s="183" t="s">
        <v>20</v>
      </c>
      <c r="B30" s="184"/>
      <c r="C30" s="184"/>
      <c r="D30" s="185"/>
      <c r="E30" s="190" t="s">
        <v>21</v>
      </c>
      <c r="F30" s="186"/>
      <c r="G30" s="186"/>
      <c r="H30" s="186"/>
      <c r="I30" s="184" t="s">
        <v>26</v>
      </c>
      <c r="J30" s="184"/>
      <c r="K30" s="184"/>
      <c r="L30" s="184"/>
      <c r="M30" s="184"/>
      <c r="N30" s="186">
        <v>1</v>
      </c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  <c r="AJ30" s="186"/>
      <c r="AK30" s="186"/>
      <c r="AL30" s="186"/>
      <c r="AM30" s="186"/>
      <c r="AN30" s="186"/>
      <c r="AO30" s="186"/>
      <c r="AP30" s="186"/>
      <c r="AQ30" s="186"/>
      <c r="AR30" s="186"/>
      <c r="AS30" s="186"/>
      <c r="AT30" s="186"/>
      <c r="AU30" s="186"/>
      <c r="AV30" s="186"/>
      <c r="AW30" s="187"/>
    </row>
  </sheetData>
  <mergeCells count="30">
    <mergeCell ref="A29:D29"/>
    <mergeCell ref="E29:H29"/>
    <mergeCell ref="I29:M29"/>
    <mergeCell ref="N29:AW29"/>
    <mergeCell ref="A30:D30"/>
    <mergeCell ref="E30:H30"/>
    <mergeCell ref="I30:M30"/>
    <mergeCell ref="N30:AW30"/>
    <mergeCell ref="A27:D27"/>
    <mergeCell ref="E27:AW27"/>
    <mergeCell ref="A28:D28"/>
    <mergeCell ref="E28:H28"/>
    <mergeCell ref="I28:M28"/>
    <mergeCell ref="N28:AW28"/>
    <mergeCell ref="A24:AW24"/>
    <mergeCell ref="A25:D25"/>
    <mergeCell ref="E25:AW25"/>
    <mergeCell ref="A26:D26"/>
    <mergeCell ref="E26:AW26"/>
    <mergeCell ref="A1:AW1"/>
    <mergeCell ref="A2:C2"/>
    <mergeCell ref="F2:H2"/>
    <mergeCell ref="K2:M2"/>
    <mergeCell ref="P2:R2"/>
    <mergeCell ref="U2:W2"/>
    <mergeCell ref="Z2:AB2"/>
    <mergeCell ref="AE2:AG2"/>
    <mergeCell ref="AJ2:AL2"/>
    <mergeCell ref="AO2:AQ2"/>
    <mergeCell ref="AT2:AV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5">
    <tabColor theme="4" tint="0.59999389629810485"/>
  </sheetPr>
  <dimension ref="A1:AW23"/>
  <sheetViews>
    <sheetView tabSelected="1" zoomScaleNormal="100" workbookViewId="0">
      <selection activeCell="J30" sqref="J30"/>
    </sheetView>
  </sheetViews>
  <sheetFormatPr baseColWidth="10" defaultRowHeight="14.25" x14ac:dyDescent="0.45"/>
  <cols>
    <col min="1" max="1" width="8" bestFit="1" customWidth="1"/>
    <col min="2" max="2" width="7" bestFit="1" customWidth="1"/>
    <col min="3" max="3" width="8" bestFit="1" customWidth="1"/>
    <col min="4" max="4" width="13" bestFit="1" customWidth="1"/>
    <col min="5" max="5" width="2.86328125" customWidth="1"/>
    <col min="6" max="6" width="8" bestFit="1" customWidth="1"/>
    <col min="7" max="7" width="7" bestFit="1" customWidth="1"/>
    <col min="8" max="8" width="8" bestFit="1" customWidth="1"/>
    <col min="9" max="9" width="13" bestFit="1" customWidth="1"/>
    <col min="10" max="10" width="2.86328125" customWidth="1"/>
    <col min="11" max="11" width="8" bestFit="1" customWidth="1"/>
    <col min="12" max="12" width="7" bestFit="1" customWidth="1"/>
    <col min="13" max="13" width="8" bestFit="1" customWidth="1"/>
    <col min="14" max="14" width="13" bestFit="1" customWidth="1"/>
    <col min="15" max="15" width="2.86328125" customWidth="1"/>
    <col min="16" max="16" width="8" bestFit="1" customWidth="1"/>
    <col min="17" max="17" width="7" bestFit="1" customWidth="1"/>
    <col min="18" max="18" width="8" bestFit="1" customWidth="1"/>
    <col min="19" max="19" width="13" bestFit="1" customWidth="1"/>
    <col min="20" max="20" width="2.86328125" customWidth="1"/>
    <col min="21" max="21" width="8" bestFit="1" customWidth="1"/>
    <col min="22" max="22" width="7" bestFit="1" customWidth="1"/>
    <col min="23" max="23" width="8" bestFit="1" customWidth="1"/>
    <col min="24" max="24" width="13" bestFit="1" customWidth="1"/>
    <col min="25" max="25" width="2.86328125" customWidth="1"/>
    <col min="26" max="26" width="8" bestFit="1" customWidth="1"/>
    <col min="27" max="27" width="7" bestFit="1" customWidth="1"/>
    <col min="28" max="28" width="8" bestFit="1" customWidth="1"/>
    <col min="29" max="29" width="13" bestFit="1" customWidth="1"/>
    <col min="30" max="30" width="2.86328125" customWidth="1"/>
    <col min="31" max="31" width="8" bestFit="1" customWidth="1"/>
    <col min="32" max="32" width="7" bestFit="1" customWidth="1"/>
    <col min="33" max="33" width="8" bestFit="1" customWidth="1"/>
    <col min="34" max="34" width="13" bestFit="1" customWidth="1"/>
    <col min="35" max="35" width="2.86328125" customWidth="1"/>
    <col min="36" max="36" width="8" bestFit="1" customWidth="1"/>
    <col min="37" max="37" width="7" bestFit="1" customWidth="1"/>
    <col min="38" max="38" width="8" bestFit="1" customWidth="1"/>
    <col min="39" max="39" width="13" bestFit="1" customWidth="1"/>
    <col min="40" max="40" width="2.86328125" customWidth="1"/>
    <col min="41" max="41" width="8" bestFit="1" customWidth="1"/>
    <col min="42" max="42" width="7" bestFit="1" customWidth="1"/>
    <col min="43" max="43" width="8" bestFit="1" customWidth="1"/>
    <col min="44" max="44" width="13" bestFit="1" customWidth="1"/>
    <col min="45" max="45" width="2.86328125" customWidth="1"/>
    <col min="46" max="47" width="7" bestFit="1" customWidth="1"/>
    <col min="48" max="48" width="8" bestFit="1" customWidth="1"/>
    <col min="49" max="49" width="13" bestFit="1" customWidth="1"/>
    <col min="50" max="50" width="2.86328125" customWidth="1"/>
  </cols>
  <sheetData>
    <row r="1" spans="1:49" ht="41.65" customHeight="1" thickBot="1" x14ac:dyDescent="0.5">
      <c r="A1" s="174" t="s">
        <v>119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  <c r="AV1" s="175"/>
      <c r="AW1" s="176"/>
    </row>
    <row r="2" spans="1:49" x14ac:dyDescent="0.45">
      <c r="A2" s="194" t="s">
        <v>51</v>
      </c>
      <c r="B2" s="195"/>
      <c r="C2" s="195"/>
      <c r="D2" s="16" t="s">
        <v>52</v>
      </c>
      <c r="E2" s="1"/>
      <c r="F2" s="194" t="s">
        <v>53</v>
      </c>
      <c r="G2" s="195"/>
      <c r="H2" s="195"/>
      <c r="I2" s="16" t="s">
        <v>54</v>
      </c>
      <c r="J2" s="1"/>
      <c r="K2" s="194" t="s">
        <v>55</v>
      </c>
      <c r="L2" s="195"/>
      <c r="M2" s="195"/>
      <c r="N2" s="16" t="s">
        <v>56</v>
      </c>
      <c r="O2" s="1"/>
      <c r="P2" s="194" t="s">
        <v>58</v>
      </c>
      <c r="Q2" s="195"/>
      <c r="R2" s="195"/>
      <c r="S2" s="16" t="s">
        <v>59</v>
      </c>
      <c r="T2" s="1"/>
      <c r="U2" s="194" t="s">
        <v>60</v>
      </c>
      <c r="V2" s="195"/>
      <c r="W2" s="195"/>
      <c r="X2" s="16" t="s">
        <v>61</v>
      </c>
      <c r="Y2" s="1"/>
      <c r="Z2" s="194" t="s">
        <v>62</v>
      </c>
      <c r="AA2" s="195"/>
      <c r="AB2" s="195"/>
      <c r="AC2" s="16" t="s">
        <v>63</v>
      </c>
      <c r="AD2" s="1"/>
      <c r="AE2" s="194" t="s">
        <v>64</v>
      </c>
      <c r="AF2" s="195"/>
      <c r="AG2" s="195"/>
      <c r="AH2" s="16" t="s">
        <v>65</v>
      </c>
      <c r="AI2" s="1"/>
      <c r="AJ2" s="194" t="s">
        <v>66</v>
      </c>
      <c r="AK2" s="195"/>
      <c r="AL2" s="195"/>
      <c r="AM2" s="16" t="s">
        <v>67</v>
      </c>
      <c r="AN2" s="1"/>
      <c r="AO2" s="194" t="s">
        <v>42</v>
      </c>
      <c r="AP2" s="195"/>
      <c r="AQ2" s="195"/>
      <c r="AR2" s="16" t="s">
        <v>43</v>
      </c>
      <c r="AS2" s="1"/>
      <c r="AT2" s="194" t="s">
        <v>68</v>
      </c>
      <c r="AU2" s="195"/>
      <c r="AV2" s="195"/>
      <c r="AW2" s="16" t="s">
        <v>69</v>
      </c>
    </row>
    <row r="3" spans="1:49" x14ac:dyDescent="0.4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4.65" thickBot="1" x14ac:dyDescent="0.5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45">
      <c r="A5" s="3">
        <v>19642.900000000001</v>
      </c>
      <c r="B5" s="1">
        <v>278.14999999999998</v>
      </c>
      <c r="C5" s="4">
        <v>0.94693899999999998</v>
      </c>
      <c r="D5" s="10" t="e">
        <f>ws_direct_ads_w_pT(A5,B5,$E$18,$E$19,$E$20,$E$21,$N$21,$E$22,$N$22,$E$23,$N$23)</f>
        <v>#VALUE!</v>
      </c>
      <c r="E5" s="1"/>
      <c r="F5" s="3">
        <v>57142.9</v>
      </c>
      <c r="G5" s="1">
        <v>288.14999999999998</v>
      </c>
      <c r="H5" s="4">
        <v>1.2</v>
      </c>
      <c r="I5" s="10" t="e">
        <f t="shared" ref="I5:I9" si="0">ws_direct_ads_w_pT(F5,G5,$E$18,$E$19,$E$20,$E$21,$N$21,$E$22,$N$22,$E$23,$N$23)</f>
        <v>#VALUE!</v>
      </c>
      <c r="J5" s="1"/>
      <c r="K5" s="3">
        <v>48214.3</v>
      </c>
      <c r="L5" s="1">
        <v>293.14999999999998</v>
      </c>
      <c r="M5" s="4">
        <v>1.0530600000000001</v>
      </c>
      <c r="N5" s="10" t="e">
        <f t="shared" ref="N5:N14" si="1">ws_direct_ads_w_pT(K5,L5,$E$18,$E$19,$E$20,$E$21,$N$21,$E$22,$N$22,$E$23,$N$23)</f>
        <v>#VALUE!</v>
      </c>
      <c r="O5" s="1"/>
      <c r="P5" s="3">
        <v>55357.1</v>
      </c>
      <c r="Q5" s="15">
        <v>298.14999999999998</v>
      </c>
      <c r="R5" s="4">
        <v>0.99591799999999997</v>
      </c>
      <c r="S5" s="10" t="e">
        <f>ws_direct_ads_w_pT(P5,Q5,$E$18,$E$19,$E$20,$E$21,$N$21,$E$22,$N$22,$E$23,$N$23)</f>
        <v>#VALUE!</v>
      </c>
      <c r="T5" s="1"/>
      <c r="U5" s="3">
        <v>62500</v>
      </c>
      <c r="V5" s="15">
        <v>308.14999999999998</v>
      </c>
      <c r="W5" s="4">
        <v>0.89795899999999995</v>
      </c>
      <c r="X5" s="10" t="e">
        <f>ws_direct_ads_w_pT(U5,V5,$E$18,$E$19,$E$20,$E$21,$N$21,$E$22,$N$22,$E$23,$N$23)</f>
        <v>#VALUE!</v>
      </c>
      <c r="Y5" s="1"/>
      <c r="Z5" s="3">
        <v>73214.3</v>
      </c>
      <c r="AA5" s="15">
        <v>318.14999999999998</v>
      </c>
      <c r="AB5" s="4">
        <v>0.81632700000000002</v>
      </c>
      <c r="AC5" s="10" t="e">
        <f>ws_direct_ads_w_pT(Z5,AA5,$E$18,$E$19,$E$20,$E$21,$N$21,$E$22,$N$22,$E$23,$N$23)</f>
        <v>#VALUE!</v>
      </c>
      <c r="AD5" s="1"/>
      <c r="AE5" s="3">
        <v>82142.900000000009</v>
      </c>
      <c r="AF5" s="15">
        <v>328.15</v>
      </c>
      <c r="AG5" s="4">
        <v>0.71836699999999998</v>
      </c>
      <c r="AH5" s="10" t="e">
        <f>ws_direct_ads_w_pT(AE5,AF5,$E$18,$E$19,$E$20,$E$21,$N$21,$E$22,$N$22,$E$23,$N$23)</f>
        <v>#VALUE!</v>
      </c>
      <c r="AI5" s="1"/>
      <c r="AJ5" s="3">
        <v>89285.7</v>
      </c>
      <c r="AK5" s="15">
        <v>338.15</v>
      </c>
      <c r="AL5" s="4">
        <v>0.63673500000000005</v>
      </c>
      <c r="AM5" s="10" t="e">
        <f>ws_direct_ads_w_pT(AJ5,AK5,$E$18,$E$19,$E$20,$E$21,$N$21,$E$22,$N$22,$E$23,$N$23)</f>
        <v>#VALUE!</v>
      </c>
      <c r="AN5" s="1"/>
      <c r="AO5" s="3">
        <v>96428.6</v>
      </c>
      <c r="AP5" s="15">
        <v>348.15</v>
      </c>
      <c r="AQ5" s="4">
        <v>0.57142899999999996</v>
      </c>
      <c r="AR5" s="10" t="e">
        <f>ws_direct_ads_w_pT(AO5,AP5,$E$18,$E$19,$E$20,$E$21,$N$21,$E$22,$N$22,$E$23,$N$23)</f>
        <v>#VALUE!</v>
      </c>
      <c r="AS5" s="1"/>
      <c r="AT5" s="3">
        <v>105357</v>
      </c>
      <c r="AU5" s="15">
        <v>358.15</v>
      </c>
      <c r="AV5" s="4">
        <v>0.49795899999999998</v>
      </c>
      <c r="AW5" s="10" t="e">
        <f>ws_direct_ads_w_pT(AT5,AU5,$E$18,$E$19,$E$20,$E$21,$N$21,$E$22,$N$22,$E$23,$N$23)</f>
        <v>#VALUE!</v>
      </c>
    </row>
    <row r="6" spans="1:49" x14ac:dyDescent="0.45">
      <c r="A6" s="3">
        <v>58928.6</v>
      </c>
      <c r="B6" s="1">
        <v>278.14999999999998</v>
      </c>
      <c r="C6" s="4">
        <v>1.4367300000000001</v>
      </c>
      <c r="D6" s="10" t="e">
        <f>ws_direct_ads_w_pT(A6,B6,$E$18,$E$19,$E$20,$E$21,$N$21,$E$22,$N$22,$E$23,$N$23)</f>
        <v>#VALUE!</v>
      </c>
      <c r="E6" s="1"/>
      <c r="F6" s="3">
        <v>144643</v>
      </c>
      <c r="G6" s="1">
        <v>288.14999999999998</v>
      </c>
      <c r="H6" s="4">
        <v>1.7061200000000001</v>
      </c>
      <c r="I6" s="10" t="e">
        <f t="shared" si="0"/>
        <v>#VALUE!</v>
      </c>
      <c r="J6" s="1"/>
      <c r="K6" s="3">
        <v>78571.399999999994</v>
      </c>
      <c r="L6" s="1">
        <v>293.14999999999998</v>
      </c>
      <c r="M6" s="4">
        <v>1.2081599999999999</v>
      </c>
      <c r="N6" s="10" t="e">
        <f t="shared" si="1"/>
        <v>#VALUE!</v>
      </c>
      <c r="O6" s="1"/>
      <c r="P6" s="3">
        <v>83928.6</v>
      </c>
      <c r="Q6" s="15">
        <v>298.14999999999998</v>
      </c>
      <c r="R6" s="4">
        <v>1.1673500000000001</v>
      </c>
      <c r="S6" s="10" t="e">
        <f t="shared" ref="S6:S15" si="2">ws_direct_ads_w_pT(P6,Q6,$E$18,$E$19,$E$20,$E$21,$N$21,$E$22,$N$22,$E$23,$N$23)</f>
        <v>#VALUE!</v>
      </c>
      <c r="T6" s="1"/>
      <c r="U6" s="3">
        <v>91071.4</v>
      </c>
      <c r="V6" s="15">
        <v>308.14999999999998</v>
      </c>
      <c r="W6" s="4">
        <v>1.0530600000000001</v>
      </c>
      <c r="X6" s="10" t="e">
        <f t="shared" ref="X6:X15" si="3">ws_direct_ads_w_pT(U6,V6,$E$18,$E$19,$E$20,$E$21,$N$21,$E$22,$N$22,$E$23,$N$23)</f>
        <v>#VALUE!</v>
      </c>
      <c r="Y6" s="1"/>
      <c r="Z6" s="3">
        <v>103571</v>
      </c>
      <c r="AA6" s="15">
        <v>318.14999999999998</v>
      </c>
      <c r="AB6" s="4">
        <v>0.95510200000000001</v>
      </c>
      <c r="AC6" s="10" t="e">
        <f t="shared" ref="AC6:AC15" si="4">ws_direct_ads_w_pT(Z6,AA6,$E$18,$E$19,$E$20,$E$21,$N$21,$E$22,$N$22,$E$23,$N$23)</f>
        <v>#VALUE!</v>
      </c>
      <c r="AD6" s="1"/>
      <c r="AE6" s="3">
        <v>114286</v>
      </c>
      <c r="AF6" s="15">
        <v>328.15</v>
      </c>
      <c r="AG6" s="4">
        <v>0.86530600000000002</v>
      </c>
      <c r="AH6" s="10" t="e">
        <f t="shared" ref="AH6:AH15" si="5">ws_direct_ads_w_pT(AE6,AF6,$E$18,$E$19,$E$20,$E$21,$N$21,$E$22,$N$22,$E$23,$N$23)</f>
        <v>#VALUE!</v>
      </c>
      <c r="AI6" s="1"/>
      <c r="AJ6" s="3">
        <v>125000</v>
      </c>
      <c r="AK6" s="15">
        <v>338.15</v>
      </c>
      <c r="AL6" s="4">
        <v>0.767347</v>
      </c>
      <c r="AM6" s="10" t="e">
        <f t="shared" ref="AM6:AM15" si="6">ws_direct_ads_w_pT(AJ6,AK6,$E$18,$E$19,$E$20,$E$21,$N$21,$E$22,$N$22,$E$23,$N$23)</f>
        <v>#VALUE!</v>
      </c>
      <c r="AN6" s="1"/>
      <c r="AO6" s="3">
        <v>135714</v>
      </c>
      <c r="AP6" s="15">
        <v>348.15</v>
      </c>
      <c r="AQ6" s="4">
        <v>0.68571400000000005</v>
      </c>
      <c r="AR6" s="10" t="e">
        <f t="shared" ref="AR6:AR15" si="7">ws_direct_ads_w_pT(AO6,AP6,$E$18,$E$19,$E$20,$E$21,$N$21,$E$22,$N$22,$E$23,$N$23)</f>
        <v>#VALUE!</v>
      </c>
      <c r="AS6" s="1"/>
      <c r="AT6" s="3">
        <v>142857</v>
      </c>
      <c r="AU6" s="15">
        <v>358.15</v>
      </c>
      <c r="AV6" s="4">
        <v>0.60408200000000001</v>
      </c>
      <c r="AW6" s="10" t="e">
        <f t="shared" ref="AW6:AW15" si="8">ws_direct_ads_w_pT(AT6,AU6,$E$18,$E$19,$E$20,$E$21,$N$21,$E$22,$N$22,$E$23,$N$23)</f>
        <v>#VALUE!</v>
      </c>
    </row>
    <row r="7" spans="1:49" x14ac:dyDescent="0.45">
      <c r="A7" s="3">
        <v>117857</v>
      </c>
      <c r="B7" s="1">
        <v>278.14999999999998</v>
      </c>
      <c r="C7" s="4">
        <v>1.8530599999999999</v>
      </c>
      <c r="D7" s="10" t="e">
        <f>ws_direct_ads_w_pT(A7,B7,$E$18,$E$19,$E$20,$E$21,$N$21,$E$22,$N$22,$E$23,$N$23)</f>
        <v>#VALUE!</v>
      </c>
      <c r="E7" s="1"/>
      <c r="F7" s="3">
        <v>278571</v>
      </c>
      <c r="G7" s="1">
        <v>288.14999999999998</v>
      </c>
      <c r="H7" s="4">
        <v>2.0734699999999999</v>
      </c>
      <c r="I7" s="10" t="e">
        <f t="shared" si="0"/>
        <v>#VALUE!</v>
      </c>
      <c r="J7" s="1"/>
      <c r="K7" s="3">
        <v>112500</v>
      </c>
      <c r="L7" s="1">
        <v>293.14999999999998</v>
      </c>
      <c r="M7" s="4">
        <v>1.3714299999999999</v>
      </c>
      <c r="N7" s="10" t="e">
        <f t="shared" si="1"/>
        <v>#VALUE!</v>
      </c>
      <c r="O7" s="1"/>
      <c r="P7" s="3">
        <v>117857</v>
      </c>
      <c r="Q7" s="15">
        <v>298.14999999999998</v>
      </c>
      <c r="R7" s="4">
        <v>1.3224499999999999</v>
      </c>
      <c r="S7" s="10" t="e">
        <f t="shared" si="2"/>
        <v>#VALUE!</v>
      </c>
      <c r="T7" s="1"/>
      <c r="U7" s="3">
        <v>130357</v>
      </c>
      <c r="V7" s="15">
        <v>308.14999999999998</v>
      </c>
      <c r="W7" s="4">
        <v>1.2</v>
      </c>
      <c r="X7" s="10" t="e">
        <f t="shared" si="3"/>
        <v>#VALUE!</v>
      </c>
      <c r="Y7" s="1"/>
      <c r="Z7" s="3">
        <v>142857</v>
      </c>
      <c r="AA7" s="15">
        <v>318.14999999999998</v>
      </c>
      <c r="AB7" s="4">
        <v>1.09388</v>
      </c>
      <c r="AC7" s="10" t="e">
        <f t="shared" si="4"/>
        <v>#VALUE!</v>
      </c>
      <c r="AD7" s="1"/>
      <c r="AE7" s="3">
        <v>155357</v>
      </c>
      <c r="AF7" s="15">
        <v>328.15</v>
      </c>
      <c r="AG7" s="4">
        <v>1.0040800000000001</v>
      </c>
      <c r="AH7" s="10" t="e">
        <f t="shared" si="5"/>
        <v>#VALUE!</v>
      </c>
      <c r="AI7" s="1"/>
      <c r="AJ7" s="3">
        <v>167857</v>
      </c>
      <c r="AK7" s="15">
        <v>338.15</v>
      </c>
      <c r="AL7" s="4">
        <v>0.88979600000000003</v>
      </c>
      <c r="AM7" s="10" t="e">
        <f t="shared" si="6"/>
        <v>#VALUE!</v>
      </c>
      <c r="AN7" s="1"/>
      <c r="AO7" s="3">
        <v>178571</v>
      </c>
      <c r="AP7" s="15">
        <v>348.15</v>
      </c>
      <c r="AQ7" s="4">
        <v>0.80816299999999996</v>
      </c>
      <c r="AR7" s="10" t="e">
        <f t="shared" si="7"/>
        <v>#VALUE!</v>
      </c>
      <c r="AS7" s="1"/>
      <c r="AT7" s="3">
        <v>189286</v>
      </c>
      <c r="AU7" s="15">
        <v>358.15</v>
      </c>
      <c r="AV7" s="4">
        <v>0.70204100000000003</v>
      </c>
      <c r="AW7" s="10" t="e">
        <f t="shared" si="8"/>
        <v>#VALUE!</v>
      </c>
    </row>
    <row r="8" spans="1:49" x14ac:dyDescent="0.45">
      <c r="A8" s="3">
        <v>182143</v>
      </c>
      <c r="B8" s="1">
        <v>278.14999999999998</v>
      </c>
      <c r="C8" s="4">
        <v>2.0897999999999999</v>
      </c>
      <c r="D8" s="10" t="e">
        <f t="shared" ref="D8:D10" si="9">ws_direct_ads_w_pT(A8,B8,$E$18,$E$19,$E$20,$E$21,$N$21,$E$22,$N$22,$E$23,$N$23)</f>
        <v>#VALUE!</v>
      </c>
      <c r="E8" s="1"/>
      <c r="F8" s="3">
        <v>392857</v>
      </c>
      <c r="G8" s="1">
        <v>288.14999999999998</v>
      </c>
      <c r="H8" s="4">
        <v>2.1551</v>
      </c>
      <c r="I8" s="10" t="e">
        <f t="shared" si="0"/>
        <v>#VALUE!</v>
      </c>
      <c r="J8" s="1"/>
      <c r="K8" s="3">
        <v>151786</v>
      </c>
      <c r="L8" s="1">
        <v>293.14999999999998</v>
      </c>
      <c r="M8" s="4">
        <v>1.5102</v>
      </c>
      <c r="N8" s="10" t="e">
        <f t="shared" si="1"/>
        <v>#VALUE!</v>
      </c>
      <c r="O8" s="1"/>
      <c r="P8" s="3">
        <v>157143</v>
      </c>
      <c r="Q8" s="15">
        <v>298.14999999999998</v>
      </c>
      <c r="R8" s="4">
        <v>1.46122</v>
      </c>
      <c r="S8" s="10" t="e">
        <f t="shared" si="2"/>
        <v>#VALUE!</v>
      </c>
      <c r="T8" s="1"/>
      <c r="U8" s="3">
        <v>171429</v>
      </c>
      <c r="V8" s="15">
        <v>308.14999999999998</v>
      </c>
      <c r="W8" s="4">
        <v>1.3224499999999999</v>
      </c>
      <c r="X8" s="10" t="e">
        <f t="shared" si="3"/>
        <v>#VALUE!</v>
      </c>
      <c r="Y8" s="1"/>
      <c r="Z8" s="3">
        <v>185714</v>
      </c>
      <c r="AA8" s="15">
        <v>318.14999999999998</v>
      </c>
      <c r="AB8" s="4">
        <v>1.2081599999999999</v>
      </c>
      <c r="AC8" s="10" t="e">
        <f t="shared" si="4"/>
        <v>#VALUE!</v>
      </c>
      <c r="AD8" s="1"/>
      <c r="AE8" s="3">
        <v>198214</v>
      </c>
      <c r="AF8" s="15">
        <v>328.15</v>
      </c>
      <c r="AG8" s="4">
        <v>1.09388</v>
      </c>
      <c r="AH8" s="10" t="e">
        <f t="shared" si="5"/>
        <v>#VALUE!</v>
      </c>
      <c r="AI8" s="1"/>
      <c r="AJ8" s="3">
        <v>212500</v>
      </c>
      <c r="AK8" s="15">
        <v>338.15</v>
      </c>
      <c r="AL8" s="4">
        <v>0.98775500000000005</v>
      </c>
      <c r="AM8" s="10" t="e">
        <f t="shared" si="6"/>
        <v>#VALUE!</v>
      </c>
      <c r="AN8" s="1"/>
      <c r="AO8" s="3">
        <v>228571</v>
      </c>
      <c r="AP8" s="15">
        <v>348.15</v>
      </c>
      <c r="AQ8" s="4">
        <v>0.89795899999999995</v>
      </c>
      <c r="AR8" s="10" t="e">
        <f t="shared" si="7"/>
        <v>#VALUE!</v>
      </c>
      <c r="AS8" s="1"/>
      <c r="AT8" s="3">
        <v>239286</v>
      </c>
      <c r="AU8" s="15">
        <v>358.15</v>
      </c>
      <c r="AV8" s="4">
        <v>0.80816299999999996</v>
      </c>
      <c r="AW8" s="10" t="e">
        <f t="shared" si="8"/>
        <v>#VALUE!</v>
      </c>
    </row>
    <row r="9" spans="1:49" x14ac:dyDescent="0.45">
      <c r="A9" s="3">
        <v>262500</v>
      </c>
      <c r="B9" s="1">
        <v>278.14999999999998</v>
      </c>
      <c r="C9" s="4">
        <v>2.1795900000000001</v>
      </c>
      <c r="D9" s="10" t="e">
        <f t="shared" si="9"/>
        <v>#VALUE!</v>
      </c>
      <c r="E9" s="1"/>
      <c r="F9" s="3">
        <v>435714</v>
      </c>
      <c r="G9" s="1">
        <v>288.14999999999998</v>
      </c>
      <c r="H9" s="4">
        <v>2.1877599999999999</v>
      </c>
      <c r="I9" s="10" t="e">
        <f t="shared" si="0"/>
        <v>#VALUE!</v>
      </c>
      <c r="J9" s="1"/>
      <c r="K9" s="3">
        <v>191071</v>
      </c>
      <c r="L9" s="1">
        <v>293.14999999999998</v>
      </c>
      <c r="M9" s="4">
        <v>1.6571400000000001</v>
      </c>
      <c r="N9" s="10" t="e">
        <f t="shared" si="1"/>
        <v>#VALUE!</v>
      </c>
      <c r="O9" s="1"/>
      <c r="P9" s="3">
        <v>198214</v>
      </c>
      <c r="Q9" s="15">
        <v>298.14999999999998</v>
      </c>
      <c r="R9" s="4">
        <v>1.5836699999999999</v>
      </c>
      <c r="S9" s="10" t="e">
        <f t="shared" si="2"/>
        <v>#VALUE!</v>
      </c>
      <c r="T9" s="1"/>
      <c r="U9" s="3">
        <v>216071</v>
      </c>
      <c r="V9" s="15">
        <v>308.14999999999998</v>
      </c>
      <c r="W9" s="4">
        <v>1.4449000000000001</v>
      </c>
      <c r="X9" s="10" t="e">
        <f t="shared" si="3"/>
        <v>#VALUE!</v>
      </c>
      <c r="Y9" s="1"/>
      <c r="Z9" s="3">
        <v>230357</v>
      </c>
      <c r="AA9" s="15">
        <v>318.14999999999998</v>
      </c>
      <c r="AB9" s="4">
        <v>1.29796</v>
      </c>
      <c r="AC9" s="10" t="e">
        <f t="shared" si="4"/>
        <v>#VALUE!</v>
      </c>
      <c r="AD9" s="1"/>
      <c r="AE9" s="3">
        <v>250000</v>
      </c>
      <c r="AF9" s="15">
        <v>328.15</v>
      </c>
      <c r="AG9" s="4">
        <v>1.2</v>
      </c>
      <c r="AH9" s="10" t="e">
        <f t="shared" si="5"/>
        <v>#VALUE!</v>
      </c>
      <c r="AI9" s="1"/>
      <c r="AJ9" s="3">
        <v>262500</v>
      </c>
      <c r="AK9" s="15">
        <v>338.15</v>
      </c>
      <c r="AL9" s="4">
        <v>1.09388</v>
      </c>
      <c r="AM9" s="10" t="e">
        <f t="shared" si="6"/>
        <v>#VALUE!</v>
      </c>
      <c r="AN9" s="1"/>
      <c r="AO9" s="3">
        <v>280357</v>
      </c>
      <c r="AP9" s="15">
        <v>348.15</v>
      </c>
      <c r="AQ9" s="4">
        <v>0.98775500000000005</v>
      </c>
      <c r="AR9" s="10" t="e">
        <f t="shared" si="7"/>
        <v>#VALUE!</v>
      </c>
      <c r="AS9" s="1"/>
      <c r="AT9" s="3">
        <v>294643</v>
      </c>
      <c r="AU9" s="15">
        <v>358.15</v>
      </c>
      <c r="AV9" s="4">
        <v>0.88979600000000003</v>
      </c>
      <c r="AW9" s="10" t="e">
        <f t="shared" si="8"/>
        <v>#VALUE!</v>
      </c>
    </row>
    <row r="10" spans="1:49" x14ac:dyDescent="0.45">
      <c r="A10" s="3">
        <v>300000</v>
      </c>
      <c r="B10" s="1">
        <v>278.14999999999998</v>
      </c>
      <c r="C10" s="4">
        <v>2.21224</v>
      </c>
      <c r="D10" s="10" t="e">
        <f t="shared" si="9"/>
        <v>#VALUE!</v>
      </c>
      <c r="E10" s="1"/>
      <c r="F10" s="3"/>
      <c r="G10" s="1"/>
      <c r="H10" s="4"/>
      <c r="I10" s="10"/>
      <c r="J10" s="1"/>
      <c r="K10" s="3">
        <v>232143</v>
      </c>
      <c r="L10" s="1">
        <v>293.14999999999998</v>
      </c>
      <c r="M10" s="4">
        <v>1.78776</v>
      </c>
      <c r="N10" s="10" t="e">
        <f t="shared" si="1"/>
        <v>#VALUE!</v>
      </c>
      <c r="O10" s="1"/>
      <c r="P10" s="3">
        <v>241071</v>
      </c>
      <c r="Q10" s="15">
        <v>298.14999999999998</v>
      </c>
      <c r="R10" s="4">
        <v>1.7142900000000001</v>
      </c>
      <c r="S10" s="10" t="e">
        <f t="shared" si="2"/>
        <v>#VALUE!</v>
      </c>
      <c r="T10" s="1"/>
      <c r="U10" s="3">
        <v>260714</v>
      </c>
      <c r="V10" s="15">
        <v>308.14999999999998</v>
      </c>
      <c r="W10" s="4">
        <v>1.5510200000000001</v>
      </c>
      <c r="X10" s="10" t="e">
        <f t="shared" si="3"/>
        <v>#VALUE!</v>
      </c>
      <c r="Y10" s="1"/>
      <c r="Z10" s="3">
        <v>278571</v>
      </c>
      <c r="AA10" s="15">
        <v>318.14999999999998</v>
      </c>
      <c r="AB10" s="4">
        <v>1.40408</v>
      </c>
      <c r="AC10" s="10" t="e">
        <f t="shared" si="4"/>
        <v>#VALUE!</v>
      </c>
      <c r="AD10" s="1"/>
      <c r="AE10" s="3">
        <v>298214</v>
      </c>
      <c r="AF10" s="15">
        <v>328.15</v>
      </c>
      <c r="AG10" s="4">
        <v>1.2898000000000001</v>
      </c>
      <c r="AH10" s="10" t="e">
        <f t="shared" si="5"/>
        <v>#VALUE!</v>
      </c>
      <c r="AI10" s="1"/>
      <c r="AJ10" s="3">
        <v>316071</v>
      </c>
      <c r="AK10" s="15">
        <v>338.15</v>
      </c>
      <c r="AL10" s="4">
        <v>1.1673500000000001</v>
      </c>
      <c r="AM10" s="10" t="e">
        <f t="shared" si="6"/>
        <v>#VALUE!</v>
      </c>
      <c r="AN10" s="1"/>
      <c r="AO10" s="3">
        <v>333929</v>
      </c>
      <c r="AP10" s="15">
        <v>348.15</v>
      </c>
      <c r="AQ10" s="4">
        <v>1.0693900000000001</v>
      </c>
      <c r="AR10" s="10" t="e">
        <f t="shared" si="7"/>
        <v>#VALUE!</v>
      </c>
      <c r="AS10" s="1"/>
      <c r="AT10" s="3">
        <v>351786</v>
      </c>
      <c r="AU10" s="15">
        <v>358.15</v>
      </c>
      <c r="AV10" s="4">
        <v>0.97142899999999999</v>
      </c>
      <c r="AW10" s="10" t="e">
        <f t="shared" si="8"/>
        <v>#VALUE!</v>
      </c>
    </row>
    <row r="11" spans="1:49" x14ac:dyDescent="0.45">
      <c r="A11" s="3"/>
      <c r="B11" s="1"/>
      <c r="C11" s="4"/>
      <c r="D11" s="10"/>
      <c r="E11" s="1"/>
      <c r="F11" s="3"/>
      <c r="G11" s="1"/>
      <c r="H11" s="4"/>
      <c r="I11" s="10"/>
      <c r="J11" s="1"/>
      <c r="K11" s="3">
        <v>280357</v>
      </c>
      <c r="L11" s="1">
        <v>293.14999999999998</v>
      </c>
      <c r="M11" s="4">
        <v>1.90204</v>
      </c>
      <c r="N11" s="10" t="e">
        <f t="shared" si="1"/>
        <v>#VALUE!</v>
      </c>
      <c r="O11" s="1"/>
      <c r="P11" s="3">
        <v>289286</v>
      </c>
      <c r="Q11" s="15">
        <v>298.14999999999998</v>
      </c>
      <c r="R11" s="4">
        <v>1.83673</v>
      </c>
      <c r="S11" s="10" t="e">
        <f t="shared" si="2"/>
        <v>#VALUE!</v>
      </c>
      <c r="T11" s="1"/>
      <c r="U11" s="3">
        <v>308929</v>
      </c>
      <c r="V11" s="15">
        <v>308.14999999999998</v>
      </c>
      <c r="W11" s="4">
        <v>1.6571400000000001</v>
      </c>
      <c r="X11" s="10" t="e">
        <f t="shared" si="3"/>
        <v>#VALUE!</v>
      </c>
      <c r="Y11" s="1"/>
      <c r="Z11" s="3">
        <v>332143</v>
      </c>
      <c r="AA11" s="15">
        <v>318.14999999999998</v>
      </c>
      <c r="AB11" s="4">
        <v>1.4938800000000001</v>
      </c>
      <c r="AC11" s="10" t="e">
        <f t="shared" si="4"/>
        <v>#VALUE!</v>
      </c>
      <c r="AD11" s="1"/>
      <c r="AE11" s="3">
        <v>351786</v>
      </c>
      <c r="AF11" s="15">
        <v>328.15</v>
      </c>
      <c r="AG11" s="4">
        <v>1.3714299999999999</v>
      </c>
      <c r="AH11" s="10" t="e">
        <f t="shared" si="5"/>
        <v>#VALUE!</v>
      </c>
      <c r="AI11" s="1"/>
      <c r="AJ11" s="3">
        <v>373214</v>
      </c>
      <c r="AK11" s="15">
        <v>338.15</v>
      </c>
      <c r="AL11" s="4">
        <v>1.24898</v>
      </c>
      <c r="AM11" s="10" t="e">
        <f t="shared" si="6"/>
        <v>#VALUE!</v>
      </c>
      <c r="AN11" s="1"/>
      <c r="AO11" s="3">
        <v>391071</v>
      </c>
      <c r="AP11" s="15">
        <v>348.15</v>
      </c>
      <c r="AQ11" s="4">
        <v>1.1510199999999999</v>
      </c>
      <c r="AR11" s="10" t="e">
        <f t="shared" si="7"/>
        <v>#VALUE!</v>
      </c>
      <c r="AS11" s="1"/>
      <c r="AT11" s="3">
        <v>412500</v>
      </c>
      <c r="AU11" s="15">
        <v>358.15</v>
      </c>
      <c r="AV11" s="4">
        <v>1.0530600000000001</v>
      </c>
      <c r="AW11" s="10" t="e">
        <f t="shared" si="8"/>
        <v>#VALUE!</v>
      </c>
    </row>
    <row r="12" spans="1:49" x14ac:dyDescent="0.45">
      <c r="A12" s="3"/>
      <c r="B12" s="1"/>
      <c r="C12" s="4"/>
      <c r="D12" s="10"/>
      <c r="E12" s="1"/>
      <c r="F12" s="3"/>
      <c r="G12" s="1"/>
      <c r="H12" s="4"/>
      <c r="I12" s="10"/>
      <c r="J12" s="1"/>
      <c r="K12" s="3">
        <v>330357</v>
      </c>
      <c r="L12" s="1">
        <v>293.14999999999998</v>
      </c>
      <c r="M12" s="4">
        <v>1.9673499999999999</v>
      </c>
      <c r="N12" s="10" t="e">
        <f t="shared" si="1"/>
        <v>#VALUE!</v>
      </c>
      <c r="O12" s="1"/>
      <c r="P12" s="3">
        <v>339286</v>
      </c>
      <c r="Q12" s="15">
        <v>298.14999999999998</v>
      </c>
      <c r="R12" s="4">
        <v>1.9101999999999999</v>
      </c>
      <c r="S12" s="10" t="e">
        <f t="shared" si="2"/>
        <v>#VALUE!</v>
      </c>
      <c r="T12" s="1"/>
      <c r="U12" s="3">
        <v>362500</v>
      </c>
      <c r="V12" s="15">
        <v>308.14999999999998</v>
      </c>
      <c r="W12" s="4">
        <v>1.73061</v>
      </c>
      <c r="X12" s="10" t="e">
        <f t="shared" si="3"/>
        <v>#VALUE!</v>
      </c>
      <c r="Y12" s="1"/>
      <c r="Z12" s="3">
        <v>385714</v>
      </c>
      <c r="AA12" s="15">
        <v>318.14999999999998</v>
      </c>
      <c r="AB12" s="4">
        <v>1.57551</v>
      </c>
      <c r="AC12" s="10" t="e">
        <f t="shared" si="4"/>
        <v>#VALUE!</v>
      </c>
      <c r="AD12" s="1"/>
      <c r="AE12" s="3">
        <v>410714</v>
      </c>
      <c r="AF12" s="15">
        <v>328.15</v>
      </c>
      <c r="AG12" s="4">
        <v>1.4449000000000001</v>
      </c>
      <c r="AH12" s="10" t="e">
        <f t="shared" si="5"/>
        <v>#VALUE!</v>
      </c>
      <c r="AI12" s="1"/>
      <c r="AJ12" s="3">
        <v>432143</v>
      </c>
      <c r="AK12" s="15">
        <v>338.15</v>
      </c>
      <c r="AL12" s="4">
        <v>1.3306100000000001</v>
      </c>
      <c r="AM12" s="10" t="e">
        <f t="shared" si="6"/>
        <v>#VALUE!</v>
      </c>
      <c r="AN12" s="1"/>
      <c r="AO12" s="3">
        <v>453571</v>
      </c>
      <c r="AP12" s="15">
        <v>348.15</v>
      </c>
      <c r="AQ12" s="4">
        <v>1.2244900000000001</v>
      </c>
      <c r="AR12" s="10" t="e">
        <f t="shared" si="7"/>
        <v>#VALUE!</v>
      </c>
      <c r="AS12" s="1"/>
      <c r="AT12" s="3">
        <v>476786</v>
      </c>
      <c r="AU12" s="15">
        <v>358.15</v>
      </c>
      <c r="AV12" s="4">
        <v>1.12653</v>
      </c>
      <c r="AW12" s="10" t="e">
        <f t="shared" si="8"/>
        <v>#VALUE!</v>
      </c>
    </row>
    <row r="13" spans="1:49" x14ac:dyDescent="0.45">
      <c r="A13" s="3"/>
      <c r="B13" s="1"/>
      <c r="C13" s="4"/>
      <c r="D13" s="10"/>
      <c r="E13" s="1"/>
      <c r="F13" s="3"/>
      <c r="G13" s="1"/>
      <c r="H13" s="4"/>
      <c r="I13" s="10"/>
      <c r="J13" s="1"/>
      <c r="K13" s="3">
        <v>382143</v>
      </c>
      <c r="L13" s="1">
        <v>293.14999999999998</v>
      </c>
      <c r="M13" s="4">
        <v>2.0326499999999998</v>
      </c>
      <c r="N13" s="10" t="e">
        <f t="shared" si="1"/>
        <v>#VALUE!</v>
      </c>
      <c r="O13" s="1"/>
      <c r="P13" s="3">
        <v>392857</v>
      </c>
      <c r="Q13" s="15">
        <v>298.14999999999998</v>
      </c>
      <c r="R13" s="4">
        <v>1.98367</v>
      </c>
      <c r="S13" s="10" t="e">
        <f t="shared" si="2"/>
        <v>#VALUE!</v>
      </c>
      <c r="T13" s="1"/>
      <c r="U13" s="3">
        <v>419643</v>
      </c>
      <c r="V13" s="15">
        <v>308.14999999999998</v>
      </c>
      <c r="W13" s="4">
        <v>1.83673</v>
      </c>
      <c r="X13" s="10" t="e">
        <f t="shared" si="3"/>
        <v>#VALUE!</v>
      </c>
      <c r="Y13" s="1"/>
      <c r="Z13" s="3">
        <v>444643</v>
      </c>
      <c r="AA13" s="15">
        <v>318.14999999999998</v>
      </c>
      <c r="AB13" s="4">
        <v>1.67347</v>
      </c>
      <c r="AC13" s="10" t="e">
        <f t="shared" si="4"/>
        <v>#VALUE!</v>
      </c>
      <c r="AD13" s="1"/>
      <c r="AE13" s="3">
        <v>471429</v>
      </c>
      <c r="AF13" s="15">
        <v>328.15</v>
      </c>
      <c r="AG13" s="4">
        <v>1.5346900000000001</v>
      </c>
      <c r="AH13" s="10" t="e">
        <f t="shared" si="5"/>
        <v>#VALUE!</v>
      </c>
      <c r="AI13" s="1"/>
      <c r="AJ13" s="3">
        <v>498214</v>
      </c>
      <c r="AK13" s="15">
        <v>338.15</v>
      </c>
      <c r="AL13" s="4">
        <v>1.40408</v>
      </c>
      <c r="AM13" s="10" t="e">
        <f t="shared" si="6"/>
        <v>#VALUE!</v>
      </c>
      <c r="AN13" s="1"/>
      <c r="AO13" s="3">
        <v>525000</v>
      </c>
      <c r="AP13" s="15">
        <v>348.15</v>
      </c>
      <c r="AQ13" s="4">
        <v>1.29796</v>
      </c>
      <c r="AR13" s="10" t="e">
        <f t="shared" si="7"/>
        <v>#VALUE!</v>
      </c>
      <c r="AS13" s="1"/>
      <c r="AT13" s="3">
        <v>544643</v>
      </c>
      <c r="AU13" s="15">
        <v>358.15</v>
      </c>
      <c r="AV13" s="4">
        <v>1.19184</v>
      </c>
      <c r="AW13" s="10" t="e">
        <f t="shared" si="8"/>
        <v>#VALUE!</v>
      </c>
    </row>
    <row r="14" spans="1:49" x14ac:dyDescent="0.45">
      <c r="A14" s="3"/>
      <c r="B14" s="1"/>
      <c r="C14" s="4"/>
      <c r="D14" s="10"/>
      <c r="E14" s="1"/>
      <c r="F14" s="3"/>
      <c r="G14" s="1"/>
      <c r="H14" s="4"/>
      <c r="I14" s="10"/>
      <c r="J14" s="1"/>
      <c r="K14" s="3">
        <v>444643</v>
      </c>
      <c r="L14" s="1">
        <v>293.14999999999998</v>
      </c>
      <c r="M14" s="4">
        <v>2.05714</v>
      </c>
      <c r="N14" s="10" t="e">
        <f t="shared" si="1"/>
        <v>#VALUE!</v>
      </c>
      <c r="O14" s="1"/>
      <c r="P14" s="3">
        <v>457143</v>
      </c>
      <c r="Q14" s="15">
        <v>298.14999999999998</v>
      </c>
      <c r="R14" s="4">
        <v>2.01633</v>
      </c>
      <c r="S14" s="10" t="e">
        <f t="shared" si="2"/>
        <v>#VALUE!</v>
      </c>
      <c r="T14" s="1"/>
      <c r="U14" s="3">
        <v>480357</v>
      </c>
      <c r="V14" s="15">
        <v>308.14999999999998</v>
      </c>
      <c r="W14" s="4">
        <v>1.9101999999999999</v>
      </c>
      <c r="X14" s="10" t="e">
        <f t="shared" si="3"/>
        <v>#VALUE!</v>
      </c>
      <c r="Y14" s="1"/>
      <c r="Z14" s="3">
        <v>510714</v>
      </c>
      <c r="AA14" s="15">
        <v>318.14999999999998</v>
      </c>
      <c r="AB14" s="4">
        <v>1.7551000000000001</v>
      </c>
      <c r="AC14" s="10" t="e">
        <f t="shared" si="4"/>
        <v>#VALUE!</v>
      </c>
      <c r="AD14" s="1"/>
      <c r="AE14" s="3">
        <v>539286</v>
      </c>
      <c r="AF14" s="15">
        <v>328.15</v>
      </c>
      <c r="AG14" s="4">
        <v>1.61633</v>
      </c>
      <c r="AH14" s="10" t="e">
        <f t="shared" si="5"/>
        <v>#VALUE!</v>
      </c>
      <c r="AI14" s="1"/>
      <c r="AJ14" s="3">
        <v>564286</v>
      </c>
      <c r="AK14" s="15">
        <v>338.15</v>
      </c>
      <c r="AL14" s="4">
        <v>1.4857100000000001</v>
      </c>
      <c r="AM14" s="10" t="e">
        <f t="shared" si="6"/>
        <v>#VALUE!</v>
      </c>
      <c r="AN14" s="1"/>
      <c r="AO14" s="3">
        <v>592857</v>
      </c>
      <c r="AP14" s="15">
        <v>348.15</v>
      </c>
      <c r="AQ14" s="4">
        <v>1.3795900000000001</v>
      </c>
      <c r="AR14" s="10" t="e">
        <f t="shared" si="7"/>
        <v>#VALUE!</v>
      </c>
      <c r="AS14" s="1"/>
      <c r="AT14" s="3">
        <v>621429</v>
      </c>
      <c r="AU14" s="15">
        <v>358.15</v>
      </c>
      <c r="AV14" s="4">
        <v>1.2653099999999999</v>
      </c>
      <c r="AW14" s="10" t="e">
        <f t="shared" si="8"/>
        <v>#VALUE!</v>
      </c>
    </row>
    <row r="15" spans="1:49" ht="14.65" thickBot="1" x14ac:dyDescent="0.5">
      <c r="A15" s="5"/>
      <c r="B15" s="2"/>
      <c r="C15" s="6"/>
      <c r="D15" s="11"/>
      <c r="E15" s="2"/>
      <c r="F15" s="5"/>
      <c r="G15" s="2"/>
      <c r="H15" s="6"/>
      <c r="I15" s="11"/>
      <c r="J15" s="2"/>
      <c r="K15" s="5"/>
      <c r="L15" s="2"/>
      <c r="M15" s="6"/>
      <c r="N15" s="11"/>
      <c r="O15" s="2"/>
      <c r="P15" s="5">
        <v>514286</v>
      </c>
      <c r="Q15" s="26">
        <v>298.14999999999998</v>
      </c>
      <c r="R15" s="6">
        <v>2.0408200000000001</v>
      </c>
      <c r="S15" s="11" t="e">
        <f t="shared" si="2"/>
        <v>#VALUE!</v>
      </c>
      <c r="T15" s="2"/>
      <c r="U15" s="5">
        <v>541071</v>
      </c>
      <c r="V15" s="26">
        <v>308.14999999999998</v>
      </c>
      <c r="W15" s="6">
        <v>1.94286</v>
      </c>
      <c r="X15" s="11" t="e">
        <f t="shared" si="3"/>
        <v>#VALUE!</v>
      </c>
      <c r="Y15" s="2"/>
      <c r="Z15" s="5">
        <v>571429</v>
      </c>
      <c r="AA15" s="26">
        <v>318.14999999999998</v>
      </c>
      <c r="AB15" s="6">
        <v>1.8204100000000001</v>
      </c>
      <c r="AC15" s="11" t="e">
        <f t="shared" si="4"/>
        <v>#VALUE!</v>
      </c>
      <c r="AD15" s="2"/>
      <c r="AE15" s="5">
        <v>603571</v>
      </c>
      <c r="AF15" s="26">
        <v>328.15</v>
      </c>
      <c r="AG15" s="6">
        <v>1.6979599999999999</v>
      </c>
      <c r="AH15" s="11" t="e">
        <f t="shared" si="5"/>
        <v>#VALUE!</v>
      </c>
      <c r="AI15" s="2"/>
      <c r="AJ15" s="5">
        <v>637500</v>
      </c>
      <c r="AK15" s="26">
        <v>338.15</v>
      </c>
      <c r="AL15" s="6">
        <v>1.55918</v>
      </c>
      <c r="AM15" s="11" t="e">
        <f t="shared" si="6"/>
        <v>#VALUE!</v>
      </c>
      <c r="AN15" s="2"/>
      <c r="AO15" s="5">
        <v>664286</v>
      </c>
      <c r="AP15" s="26">
        <v>348.15</v>
      </c>
      <c r="AQ15" s="6">
        <v>1.4449000000000001</v>
      </c>
      <c r="AR15" s="11" t="e">
        <f t="shared" si="7"/>
        <v>#VALUE!</v>
      </c>
      <c r="AS15" s="2"/>
      <c r="AT15" s="5">
        <v>694643</v>
      </c>
      <c r="AU15" s="26">
        <v>358.15</v>
      </c>
      <c r="AV15" s="6">
        <v>1.34694</v>
      </c>
      <c r="AW15" s="11" t="e">
        <f t="shared" si="8"/>
        <v>#VALUE!</v>
      </c>
    </row>
    <row r="16" spans="1:49" ht="14.65" thickBot="1" x14ac:dyDescent="0.5"/>
    <row r="17" spans="1:49" ht="14.65" thickBot="1" x14ac:dyDescent="0.5">
      <c r="A17" s="171" t="s">
        <v>27</v>
      </c>
      <c r="B17" s="172"/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3"/>
    </row>
    <row r="18" spans="1:49" x14ac:dyDescent="0.45">
      <c r="A18" s="179" t="s">
        <v>10</v>
      </c>
      <c r="B18" s="180"/>
      <c r="C18" s="180"/>
      <c r="D18" s="181"/>
      <c r="E18" s="191" t="s">
        <v>11</v>
      </c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192"/>
      <c r="AA18" s="192"/>
      <c r="AB18" s="192"/>
      <c r="AC18" s="192"/>
      <c r="AD18" s="192"/>
      <c r="AE18" s="192"/>
      <c r="AF18" s="192"/>
      <c r="AG18" s="192"/>
      <c r="AH18" s="192"/>
      <c r="AI18" s="192"/>
      <c r="AJ18" s="192"/>
      <c r="AK18" s="192"/>
      <c r="AL18" s="192"/>
      <c r="AM18" s="192"/>
      <c r="AN18" s="192"/>
      <c r="AO18" s="192"/>
      <c r="AP18" s="192"/>
      <c r="AQ18" s="192"/>
      <c r="AR18" s="192"/>
      <c r="AS18" s="192"/>
      <c r="AT18" s="192"/>
      <c r="AU18" s="192"/>
      <c r="AV18" s="192"/>
      <c r="AW18" s="193"/>
    </row>
    <row r="19" spans="1:49" x14ac:dyDescent="0.45">
      <c r="A19" s="179" t="s">
        <v>12</v>
      </c>
      <c r="B19" s="180"/>
      <c r="C19" s="180"/>
      <c r="D19" s="181"/>
      <c r="E19" s="189" t="s">
        <v>49</v>
      </c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0"/>
      <c r="AP19" s="160"/>
      <c r="AQ19" s="160"/>
      <c r="AR19" s="160"/>
      <c r="AS19" s="160"/>
      <c r="AT19" s="160"/>
      <c r="AU19" s="160"/>
      <c r="AV19" s="160"/>
      <c r="AW19" s="182"/>
    </row>
    <row r="20" spans="1:49" x14ac:dyDescent="0.45">
      <c r="A20" s="179" t="s">
        <v>14</v>
      </c>
      <c r="B20" s="180"/>
      <c r="C20" s="180"/>
      <c r="D20" s="181"/>
      <c r="E20" s="189" t="s">
        <v>48</v>
      </c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0"/>
      <c r="AD20" s="160"/>
      <c r="AE20" s="160"/>
      <c r="AF20" s="160"/>
      <c r="AG20" s="160"/>
      <c r="AH20" s="160"/>
      <c r="AI20" s="160"/>
      <c r="AJ20" s="160"/>
      <c r="AK20" s="160"/>
      <c r="AL20" s="160"/>
      <c r="AM20" s="160"/>
      <c r="AN20" s="160"/>
      <c r="AO20" s="160"/>
      <c r="AP20" s="160"/>
      <c r="AQ20" s="160"/>
      <c r="AR20" s="160"/>
      <c r="AS20" s="160"/>
      <c r="AT20" s="160"/>
      <c r="AU20" s="160"/>
      <c r="AV20" s="160"/>
      <c r="AW20" s="182"/>
    </row>
    <row r="21" spans="1:49" x14ac:dyDescent="0.45">
      <c r="A21" s="179" t="s">
        <v>16</v>
      </c>
      <c r="B21" s="180"/>
      <c r="C21" s="180"/>
      <c r="D21" s="181"/>
      <c r="E21" s="189" t="s">
        <v>50</v>
      </c>
      <c r="F21" s="160"/>
      <c r="G21" s="160"/>
      <c r="H21" s="160"/>
      <c r="I21" s="180" t="s">
        <v>24</v>
      </c>
      <c r="J21" s="180"/>
      <c r="K21" s="180"/>
      <c r="L21" s="180"/>
      <c r="M21" s="180"/>
      <c r="N21" s="160">
        <v>1</v>
      </c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0"/>
      <c r="AD21" s="160"/>
      <c r="AE21" s="160"/>
      <c r="AF21" s="160"/>
      <c r="AG21" s="160"/>
      <c r="AH21" s="160"/>
      <c r="AI21" s="160"/>
      <c r="AJ21" s="160"/>
      <c r="AK21" s="160"/>
      <c r="AL21" s="160"/>
      <c r="AM21" s="160"/>
      <c r="AN21" s="160"/>
      <c r="AO21" s="160"/>
      <c r="AP21" s="160"/>
      <c r="AQ21" s="160"/>
      <c r="AR21" s="160"/>
      <c r="AS21" s="160"/>
      <c r="AT21" s="160"/>
      <c r="AU21" s="160"/>
      <c r="AV21" s="160"/>
      <c r="AW21" s="182"/>
    </row>
    <row r="22" spans="1:49" x14ac:dyDescent="0.45">
      <c r="A22" s="179" t="s">
        <v>18</v>
      </c>
      <c r="B22" s="180"/>
      <c r="C22" s="180"/>
      <c r="D22" s="181"/>
      <c r="E22" s="189" t="s">
        <v>19</v>
      </c>
      <c r="F22" s="160"/>
      <c r="G22" s="160"/>
      <c r="H22" s="160"/>
      <c r="I22" s="180" t="s">
        <v>25</v>
      </c>
      <c r="J22" s="180"/>
      <c r="K22" s="180"/>
      <c r="L22" s="180"/>
      <c r="M22" s="180"/>
      <c r="N22" s="160">
        <v>1</v>
      </c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0"/>
      <c r="AP22" s="160"/>
      <c r="AQ22" s="160"/>
      <c r="AR22" s="160"/>
      <c r="AS22" s="160"/>
      <c r="AT22" s="160"/>
      <c r="AU22" s="160"/>
      <c r="AV22" s="160"/>
      <c r="AW22" s="182"/>
    </row>
    <row r="23" spans="1:49" ht="14.65" thickBot="1" x14ac:dyDescent="0.5">
      <c r="A23" s="183" t="s">
        <v>20</v>
      </c>
      <c r="B23" s="184"/>
      <c r="C23" s="184"/>
      <c r="D23" s="185"/>
      <c r="E23" s="190" t="s">
        <v>21</v>
      </c>
      <c r="F23" s="186"/>
      <c r="G23" s="186"/>
      <c r="H23" s="186"/>
      <c r="I23" s="184" t="s">
        <v>26</v>
      </c>
      <c r="J23" s="184"/>
      <c r="K23" s="184"/>
      <c r="L23" s="184"/>
      <c r="M23" s="184"/>
      <c r="N23" s="186">
        <v>1</v>
      </c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7"/>
    </row>
  </sheetData>
  <mergeCells count="30">
    <mergeCell ref="N23:AW23"/>
    <mergeCell ref="AE2:AG2"/>
    <mergeCell ref="AJ2:AL2"/>
    <mergeCell ref="AO2:AQ2"/>
    <mergeCell ref="AT2:AV2"/>
    <mergeCell ref="A1:AW1"/>
    <mergeCell ref="A17:AW17"/>
    <mergeCell ref="A23:D23"/>
    <mergeCell ref="E23:H23"/>
    <mergeCell ref="I23:M23"/>
    <mergeCell ref="U2:W2"/>
    <mergeCell ref="Z2:AB2"/>
    <mergeCell ref="E18:AW18"/>
    <mergeCell ref="E19:AW19"/>
    <mergeCell ref="E20:AW20"/>
    <mergeCell ref="N21:AW21"/>
    <mergeCell ref="A21:D21"/>
    <mergeCell ref="E21:H21"/>
    <mergeCell ref="I21:M21"/>
    <mergeCell ref="A22:D22"/>
    <mergeCell ref="E22:H22"/>
    <mergeCell ref="A2:C2"/>
    <mergeCell ref="F2:H2"/>
    <mergeCell ref="K2:M2"/>
    <mergeCell ref="P2:R2"/>
    <mergeCell ref="I22:M22"/>
    <mergeCell ref="N22:AW22"/>
    <mergeCell ref="A18:D18"/>
    <mergeCell ref="A19:D19"/>
    <mergeCell ref="A20:D20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Functionality</vt:lpstr>
      <vt:lpstr>DSS | MOF &amp; Propane</vt:lpstr>
      <vt:lpstr>DSS | MOF &amp; Isobutane</vt:lpstr>
      <vt:lpstr>DSS | MOF &amp; Propylene</vt:lpstr>
      <vt:lpstr>Langmuir | Carb RB1 &amp; CO2</vt:lpstr>
      <vt:lpstr>Langmuir | Carb RB1 &amp; CH4</vt:lpstr>
      <vt:lpstr>Toth | Zeolite 5A &amp; CO2</vt:lpstr>
      <vt:lpstr>Toth | Zeolite 13X &amp; CO2</vt:lpstr>
      <vt:lpstr>Dubinin | Carb MSIII &amp; R134-a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Mirko Engelpracht</dc:creator>
  <cp:lastModifiedBy>Mirko Engelpracht</cp:lastModifiedBy>
  <dcterms:created xsi:type="dcterms:W3CDTF">2020-03-03T08:52:09Z</dcterms:created>
  <dcterms:modified xsi:type="dcterms:W3CDTF">2020-03-08T21:01:12Z</dcterms:modified>
</cp:coreProperties>
</file>