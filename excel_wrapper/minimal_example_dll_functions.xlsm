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 tabRatio="736"/>
  </bookViews>
  <sheets>
    <sheet name="Adsorption - Surface" sheetId="3" r:id="rId1"/>
    <sheet name="Adsorption - SurfaceVapor" sheetId="4" r:id="rId2"/>
    <sheet name="Adsorption - Volumetric" sheetId="1" r:id="rId3"/>
    <sheet name="Absorption - Conventional" sheetId="5" r:id="rId4"/>
    <sheet name="Absorption - Activity" sheetId="6" r:id="rId5"/>
    <sheet name="Absorption - Mixing" sheetId="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8" i="7" l="1"/>
  <c r="P18" i="7"/>
  <c r="L18" i="7"/>
  <c r="H18" i="7"/>
  <c r="R17" i="7"/>
  <c r="N17" i="7"/>
  <c r="J17" i="7"/>
  <c r="T16" i="7"/>
  <c r="P16" i="7"/>
  <c r="L16" i="7"/>
  <c r="H16" i="7"/>
  <c r="R15" i="7"/>
  <c r="N15" i="7"/>
  <c r="J15" i="7"/>
  <c r="O18" i="7"/>
  <c r="G18" i="7"/>
  <c r="M17" i="7"/>
  <c r="S16" i="7"/>
  <c r="K16" i="7"/>
  <c r="G16" i="7"/>
  <c r="M15" i="7"/>
  <c r="M16" i="7"/>
  <c r="O15" i="7"/>
  <c r="S18" i="7"/>
  <c r="K18" i="7"/>
  <c r="Q17" i="7"/>
  <c r="I17" i="7"/>
  <c r="O16" i="7"/>
  <c r="Q15" i="7"/>
  <c r="I15" i="7"/>
  <c r="S15" i="7"/>
  <c r="G15" i="7"/>
  <c r="R18" i="7"/>
  <c r="N18" i="7"/>
  <c r="J18" i="7"/>
  <c r="T17" i="7"/>
  <c r="P17" i="7"/>
  <c r="L17" i="7"/>
  <c r="H17" i="7"/>
  <c r="R16" i="7"/>
  <c r="N16" i="7"/>
  <c r="J16" i="7"/>
  <c r="T15" i="7"/>
  <c r="P15" i="7"/>
  <c r="L15" i="7"/>
  <c r="H15" i="7"/>
  <c r="Q18" i="7"/>
  <c r="M18" i="7"/>
  <c r="I18" i="7"/>
  <c r="S17" i="7"/>
  <c r="O17" i="7"/>
  <c r="K17" i="7"/>
  <c r="G17" i="7"/>
  <c r="Q16" i="7"/>
  <c r="I16" i="7"/>
  <c r="K15" i="7"/>
  <c r="F18" i="7"/>
  <c r="F17" i="7"/>
  <c r="F16" i="7"/>
  <c r="F15" i="7"/>
  <c r="T14" i="7"/>
  <c r="Q11" i="7"/>
  <c r="S8" i="7"/>
  <c r="P7" i="7"/>
  <c r="T8" i="7"/>
  <c r="O8" i="7"/>
  <c r="G14" i="6"/>
  <c r="K10" i="6"/>
  <c r="O10" i="6"/>
  <c r="P8" i="6"/>
  <c r="T18" i="5"/>
  <c r="O18" i="5"/>
  <c r="F17" i="5"/>
  <c r="P23" i="3"/>
  <c r="S18" i="3"/>
  <c r="Q11" i="3"/>
  <c r="J11" i="3"/>
  <c r="T18" i="1"/>
  <c r="N7" i="4"/>
  <c r="S14" i="3"/>
  <c r="L17" i="4"/>
  <c r="P18" i="1"/>
  <c r="Q7" i="1"/>
  <c r="K7" i="4"/>
  <c r="J14" i="7"/>
  <c r="L10" i="7"/>
  <c r="M8" i="7"/>
  <c r="P8" i="7"/>
  <c r="S14" i="6"/>
  <c r="T10" i="6"/>
  <c r="R11" i="6"/>
  <c r="L7" i="6"/>
  <c r="L8" i="6"/>
  <c r="N17" i="5"/>
  <c r="L17" i="5"/>
  <c r="I14" i="1"/>
  <c r="M17" i="4"/>
  <c r="F8" i="4"/>
  <c r="R14" i="3"/>
  <c r="K18" i="4"/>
  <c r="F26" i="3"/>
  <c r="T26" i="3"/>
  <c r="N27" i="3"/>
  <c r="F10" i="4"/>
  <c r="I7" i="4"/>
  <c r="G14" i="7"/>
  <c r="H10" i="7"/>
  <c r="I8" i="7"/>
  <c r="N10" i="7"/>
  <c r="Q14" i="6"/>
  <c r="N8" i="6"/>
  <c r="N7" i="6"/>
  <c r="G8" i="6"/>
  <c r="G7" i="6"/>
  <c r="Q17" i="5"/>
  <c r="M18" i="5"/>
  <c r="K10" i="1"/>
  <c r="S8" i="4"/>
  <c r="N11" i="4"/>
  <c r="O17" i="3"/>
  <c r="S18" i="1"/>
  <c r="K7" i="3"/>
  <c r="P8" i="1"/>
  <c r="Q14" i="3"/>
  <c r="M10" i="3"/>
  <c r="P17" i="4"/>
  <c r="H14" i="3"/>
  <c r="R14" i="6"/>
  <c r="T8" i="6"/>
  <c r="T27" i="3"/>
  <c r="O18" i="4"/>
  <c r="F17" i="1"/>
  <c r="T14" i="3"/>
  <c r="I17" i="3"/>
  <c r="G8" i="1"/>
  <c r="I14" i="3"/>
  <c r="K9" i="3"/>
  <c r="I19" i="3"/>
  <c r="S11" i="3"/>
  <c r="M14" i="4"/>
  <c r="L10" i="4"/>
  <c r="P26" i="3"/>
  <c r="T11" i="1"/>
  <c r="J8" i="6"/>
  <c r="F18" i="5"/>
  <c r="L26" i="3"/>
  <c r="J18" i="4"/>
  <c r="G7" i="4"/>
  <c r="J14" i="1"/>
  <c r="N23" i="3"/>
  <c r="L10" i="1"/>
  <c r="I11" i="1"/>
  <c r="N8" i="3"/>
  <c r="Q10" i="1"/>
  <c r="J11" i="4"/>
  <c r="G11" i="1"/>
  <c r="L18" i="1"/>
  <c r="F18" i="3"/>
  <c r="Q11" i="1"/>
  <c r="I7" i="6"/>
  <c r="N14" i="4"/>
  <c r="Q8" i="4"/>
  <c r="N10" i="3"/>
  <c r="G23" i="4"/>
  <c r="R14" i="7"/>
  <c r="P10" i="7"/>
  <c r="P11" i="7"/>
  <c r="S7" i="7"/>
  <c r="P14" i="6"/>
  <c r="I11" i="6"/>
  <c r="H7" i="6"/>
  <c r="H17" i="6" s="1"/>
  <c r="T7" i="6"/>
  <c r="O7" i="6"/>
  <c r="R17" i="5"/>
  <c r="R18" i="5"/>
  <c r="F14" i="4"/>
  <c r="H7" i="4"/>
  <c r="T17" i="3"/>
  <c r="P24" i="3"/>
  <c r="O10" i="3"/>
  <c r="I8" i="4"/>
  <c r="N14" i="3"/>
  <c r="N16" i="3" s="1"/>
  <c r="I17" i="1"/>
  <c r="F14" i="1"/>
  <c r="P27" i="3"/>
  <c r="Q23" i="3"/>
  <c r="Q25" i="3" s="1"/>
  <c r="K14" i="7"/>
  <c r="J8" i="7"/>
  <c r="L7" i="7"/>
  <c r="O7" i="7"/>
  <c r="J14" i="6"/>
  <c r="R8" i="6"/>
  <c r="K8" i="6"/>
  <c r="S8" i="6"/>
  <c r="K7" i="6"/>
  <c r="K18" i="5"/>
  <c r="Q18" i="5"/>
  <c r="L23" i="3"/>
  <c r="L28" i="3" s="1"/>
  <c r="K11" i="4"/>
  <c r="H8" i="4"/>
  <c r="O14" i="3"/>
  <c r="O19" i="3" s="1"/>
  <c r="K27" i="3"/>
  <c r="L11" i="4"/>
  <c r="L7" i="1"/>
  <c r="N10" i="1"/>
  <c r="I7" i="3"/>
  <c r="T7" i="3"/>
  <c r="P18" i="4"/>
  <c r="T10" i="4"/>
  <c r="F14" i="7"/>
  <c r="F8" i="7"/>
  <c r="H7" i="7"/>
  <c r="I10" i="7"/>
  <c r="H14" i="6"/>
  <c r="M7" i="6"/>
  <c r="H11" i="6"/>
  <c r="K11" i="6"/>
  <c r="O8" i="6"/>
  <c r="M17" i="5"/>
  <c r="K17" i="5"/>
  <c r="N17" i="4"/>
  <c r="M11" i="3"/>
  <c r="L7" i="3"/>
  <c r="J10" i="3"/>
  <c r="J17" i="4"/>
  <c r="K14" i="4"/>
  <c r="S26" i="3"/>
  <c r="T8" i="3"/>
  <c r="J26" i="3"/>
  <c r="T18" i="3"/>
  <c r="O7" i="4"/>
  <c r="H14" i="7"/>
  <c r="L10" i="6"/>
  <c r="S27" i="3"/>
  <c r="I11" i="3"/>
  <c r="M8" i="1"/>
  <c r="S14" i="1"/>
  <c r="F14" i="3"/>
  <c r="F15" i="3" s="1"/>
  <c r="T23" i="3"/>
  <c r="K17" i="3"/>
  <c r="Q8" i="1"/>
  <c r="I14" i="4"/>
  <c r="N15" i="3"/>
  <c r="F7" i="1"/>
  <c r="K23" i="4"/>
  <c r="O26" i="3"/>
  <c r="L9" i="1"/>
  <c r="K9" i="4"/>
  <c r="H14" i="1"/>
  <c r="O14" i="1"/>
  <c r="F20" i="3"/>
  <c r="Q7" i="7"/>
  <c r="J10" i="7"/>
  <c r="T11" i="6"/>
  <c r="N8" i="4"/>
  <c r="P11" i="3"/>
  <c r="Q17" i="4"/>
  <c r="O10" i="4"/>
  <c r="H18" i="4"/>
  <c r="G18" i="1"/>
  <c r="N24" i="3"/>
  <c r="Q8" i="3"/>
  <c r="P7" i="4"/>
  <c r="M14" i="1"/>
  <c r="R11" i="3"/>
  <c r="H10" i="4"/>
  <c r="Q20" i="3"/>
  <c r="H11" i="3"/>
  <c r="K26" i="3"/>
  <c r="R8" i="1"/>
  <c r="G18" i="4"/>
  <c r="M17" i="1"/>
  <c r="I26" i="4"/>
  <c r="O18" i="3"/>
  <c r="T8" i="1"/>
  <c r="T11" i="7"/>
  <c r="G11" i="6"/>
  <c r="K17" i="4"/>
  <c r="M14" i="3"/>
  <c r="T19" i="3"/>
  <c r="N25" i="3"/>
  <c r="O14" i="7"/>
  <c r="N8" i="7"/>
  <c r="O10" i="7"/>
  <c r="G11" i="7"/>
  <c r="N14" i="6"/>
  <c r="H10" i="6"/>
  <c r="H9" i="6"/>
  <c r="S11" i="6"/>
  <c r="I10" i="6"/>
  <c r="S18" i="5"/>
  <c r="P17" i="5"/>
  <c r="O23" i="3"/>
  <c r="G17" i="4"/>
  <c r="K14" i="3"/>
  <c r="K15" i="3" s="1"/>
  <c r="R17" i="3"/>
  <c r="L10" i="3"/>
  <c r="G8" i="3"/>
  <c r="F8" i="1"/>
  <c r="M8" i="3"/>
  <c r="O11" i="1"/>
  <c r="S11" i="4"/>
  <c r="R7" i="1"/>
  <c r="O11" i="3"/>
  <c r="I14" i="7"/>
  <c r="I7" i="7"/>
  <c r="L11" i="7"/>
  <c r="J11" i="7"/>
  <c r="S11" i="7"/>
  <c r="F11" i="7"/>
  <c r="L14" i="6"/>
  <c r="Q7" i="6"/>
  <c r="L11" i="6"/>
  <c r="O11" i="6"/>
  <c r="L9" i="6"/>
  <c r="G18" i="5"/>
  <c r="O17" i="5"/>
  <c r="L8" i="1"/>
  <c r="R23" i="3"/>
  <c r="J10" i="1"/>
  <c r="J14" i="3"/>
  <c r="L17" i="3"/>
  <c r="P17" i="3"/>
  <c r="Q18" i="1"/>
  <c r="S17" i="3"/>
  <c r="T18" i="4"/>
  <c r="N19" i="3"/>
  <c r="R19" i="3"/>
  <c r="L14" i="7"/>
  <c r="K17" i="6"/>
  <c r="N11" i="7"/>
  <c r="H11" i="7"/>
  <c r="M10" i="7"/>
  <c r="L8" i="7"/>
  <c r="F7" i="7"/>
  <c r="Q11" i="6"/>
  <c r="I8" i="6"/>
  <c r="N9" i="6"/>
  <c r="J10" i="6"/>
  <c r="L18" i="5"/>
  <c r="J18" i="5"/>
  <c r="T11" i="4"/>
  <c r="L14" i="3"/>
  <c r="R18" i="1"/>
  <c r="P8" i="3"/>
  <c r="J19" i="3"/>
  <c r="J17" i="1"/>
  <c r="L18" i="4"/>
  <c r="F27" i="3"/>
  <c r="F16" i="4"/>
  <c r="N18" i="1"/>
  <c r="P11" i="1"/>
  <c r="O20" i="3"/>
  <c r="R8" i="7"/>
  <c r="K11" i="7"/>
  <c r="Q10" i="6"/>
  <c r="R7" i="4"/>
  <c r="R23" i="4" s="1"/>
  <c r="K8" i="4"/>
  <c r="Q18" i="4"/>
  <c r="O29" i="3"/>
  <c r="S17" i="1"/>
  <c r="K17" i="1"/>
  <c r="T7" i="4"/>
  <c r="H11" i="4"/>
  <c r="M11" i="1"/>
  <c r="O7" i="3"/>
  <c r="O10" i="1"/>
  <c r="T20" i="3"/>
  <c r="Q27" i="3"/>
  <c r="L24" i="3"/>
  <c r="I10" i="1"/>
  <c r="K25" i="4"/>
  <c r="R26" i="3"/>
  <c r="H20" i="3"/>
  <c r="S14" i="7"/>
  <c r="J7" i="6"/>
  <c r="H10" i="1"/>
  <c r="K14" i="1"/>
  <c r="I27" i="3"/>
  <c r="F11" i="3"/>
  <c r="N11" i="1"/>
  <c r="Q7" i="3"/>
  <c r="P10" i="4"/>
  <c r="H18" i="1"/>
  <c r="S16" i="3"/>
  <c r="F7" i="3"/>
  <c r="J8" i="1"/>
  <c r="F26" i="1"/>
  <c r="T17" i="1"/>
  <c r="T9" i="3"/>
  <c r="K16" i="4"/>
  <c r="T17" i="4"/>
  <c r="R9" i="1"/>
  <c r="K8" i="3"/>
  <c r="F23" i="1"/>
  <c r="Q14" i="4"/>
  <c r="I8" i="1"/>
  <c r="H18" i="5"/>
  <c r="M7" i="3"/>
  <c r="N7" i="3"/>
  <c r="F11" i="4"/>
  <c r="K16" i="3"/>
  <c r="Q14" i="7"/>
  <c r="R11" i="7"/>
  <c r="R10" i="6"/>
  <c r="P7" i="1"/>
  <c r="S7" i="3"/>
  <c r="H17" i="1"/>
  <c r="M11" i="7"/>
  <c r="R10" i="7"/>
  <c r="G10" i="6"/>
  <c r="N11" i="3"/>
  <c r="M18" i="3"/>
  <c r="I16" i="1"/>
  <c r="M14" i="7"/>
  <c r="N7" i="7"/>
  <c r="P10" i="6"/>
  <c r="J17" i="5"/>
  <c r="G7" i="1"/>
  <c r="Q18" i="3"/>
  <c r="P28" i="3"/>
  <c r="M10" i="6"/>
  <c r="R7" i="3"/>
  <c r="T15" i="3"/>
  <c r="J10" i="4"/>
  <c r="O8" i="4"/>
  <c r="T7" i="7"/>
  <c r="I15" i="1"/>
  <c r="H23" i="3"/>
  <c r="J15" i="1"/>
  <c r="G23" i="3"/>
  <c r="N14" i="7"/>
  <c r="R14" i="1"/>
  <c r="G14" i="4"/>
  <c r="M20" i="1"/>
  <c r="R24" i="3"/>
  <c r="K15" i="1"/>
  <c r="K18" i="1"/>
  <c r="Q27" i="1"/>
  <c r="N9" i="4"/>
  <c r="G14" i="5"/>
  <c r="N10" i="5"/>
  <c r="L10" i="5"/>
  <c r="H10" i="5"/>
  <c r="K19" i="1"/>
  <c r="F19" i="3"/>
  <c r="O15" i="1"/>
  <c r="H15" i="6"/>
  <c r="H14" i="4"/>
  <c r="J14" i="4"/>
  <c r="T7" i="1"/>
  <c r="N8" i="5"/>
  <c r="K7" i="5"/>
  <c r="I16" i="4"/>
  <c r="J16" i="4"/>
  <c r="S15" i="6"/>
  <c r="H8" i="7"/>
  <c r="F10" i="3"/>
  <c r="T10" i="7"/>
  <c r="P7" i="6"/>
  <c r="R29" i="3"/>
  <c r="S10" i="3"/>
  <c r="S11" i="1"/>
  <c r="N17" i="3"/>
  <c r="S14" i="4"/>
  <c r="O16" i="3"/>
  <c r="O9" i="4"/>
  <c r="M23" i="3"/>
  <c r="J15" i="3"/>
  <c r="P17" i="1"/>
  <c r="K8" i="1"/>
  <c r="S15" i="4"/>
  <c r="F16" i="1"/>
  <c r="T25" i="3"/>
  <c r="R14" i="5"/>
  <c r="L7" i="5"/>
  <c r="J8" i="5"/>
  <c r="F8" i="5"/>
  <c r="T7" i="5"/>
  <c r="R20" i="1"/>
  <c r="P16" i="6"/>
  <c r="O17" i="6"/>
  <c r="O14" i="6"/>
  <c r="T17" i="5"/>
  <c r="M18" i="1"/>
  <c r="F18" i="4"/>
  <c r="H8" i="3"/>
  <c r="R11" i="4"/>
  <c r="Q10" i="4"/>
  <c r="J8" i="3"/>
  <c r="L29" i="3"/>
  <c r="O14" i="5"/>
  <c r="I7" i="5"/>
  <c r="Q7" i="5"/>
  <c r="P23" i="4"/>
  <c r="R16" i="5"/>
  <c r="R18" i="3"/>
  <c r="S17" i="4"/>
  <c r="G11" i="3"/>
  <c r="N29" i="3"/>
  <c r="G26" i="4"/>
  <c r="N11" i="5"/>
  <c r="R26" i="1"/>
  <c r="R11" i="5"/>
  <c r="S7" i="4"/>
  <c r="M24" i="3"/>
  <c r="S11" i="5"/>
  <c r="G28" i="4"/>
  <c r="G10" i="1"/>
  <c r="F18" i="1"/>
  <c r="Q9" i="1"/>
  <c r="I8" i="5"/>
  <c r="O16" i="6"/>
  <c r="T14" i="1"/>
  <c r="H19" i="3"/>
  <c r="P29" i="4"/>
  <c r="K24" i="4"/>
  <c r="S20" i="3"/>
  <c r="G25" i="4"/>
  <c r="Q26" i="1"/>
  <c r="Q16" i="3"/>
  <c r="O9" i="3"/>
  <c r="R9" i="3"/>
  <c r="M16" i="4"/>
  <c r="L18" i="6"/>
  <c r="M17" i="6"/>
  <c r="N17" i="6"/>
  <c r="J17" i="6"/>
  <c r="M15" i="3"/>
  <c r="G20" i="5"/>
  <c r="P17" i="6"/>
  <c r="M28" i="3"/>
  <c r="R15" i="5"/>
  <c r="O18" i="6"/>
  <c r="O16" i="5"/>
  <c r="S23" i="4"/>
  <c r="T16" i="1"/>
  <c r="S24" i="4"/>
  <c r="F8" i="6"/>
  <c r="H27" i="3"/>
  <c r="P29" i="3"/>
  <c r="F14" i="6"/>
  <c r="R17" i="4"/>
  <c r="J7" i="7"/>
  <c r="J9" i="7" s="1"/>
  <c r="J11" i="6"/>
  <c r="Q17" i="3"/>
  <c r="O17" i="4"/>
  <c r="P23" i="1"/>
  <c r="P24" i="1" s="1"/>
  <c r="S7" i="6"/>
  <c r="R10" i="4"/>
  <c r="R27" i="4" s="1"/>
  <c r="N18" i="4"/>
  <c r="P11" i="4"/>
  <c r="P26" i="1"/>
  <c r="H9" i="4"/>
  <c r="M7" i="1"/>
  <c r="R27" i="3"/>
  <c r="L14" i="5"/>
  <c r="L20" i="5" s="1"/>
  <c r="F7" i="5"/>
  <c r="H7" i="5"/>
  <c r="H9" i="5" s="1"/>
  <c r="I20" i="4"/>
  <c r="Q20" i="4"/>
  <c r="G26" i="3"/>
  <c r="N14" i="5"/>
  <c r="N20" i="5" s="1"/>
  <c r="R10" i="5"/>
  <c r="R23" i="1"/>
  <c r="R28" i="1" s="1"/>
  <c r="N7" i="1"/>
  <c r="F7" i="4"/>
  <c r="L7" i="4"/>
  <c r="H26" i="3"/>
  <c r="J11" i="1"/>
  <c r="M7" i="7"/>
  <c r="M9" i="7" s="1"/>
  <c r="I14" i="6"/>
  <c r="F7" i="6"/>
  <c r="O8" i="1"/>
  <c r="T10" i="3"/>
  <c r="N10" i="4"/>
  <c r="G8" i="7"/>
  <c r="R7" i="7"/>
  <c r="N10" i="6"/>
  <c r="H7" i="3"/>
  <c r="P25" i="3"/>
  <c r="T8" i="4"/>
  <c r="I11" i="7"/>
  <c r="O11" i="7"/>
  <c r="N11" i="6"/>
  <c r="H17" i="5"/>
  <c r="M7" i="4"/>
  <c r="G10" i="3"/>
  <c r="N26" i="3"/>
  <c r="G18" i="3"/>
  <c r="H17" i="4"/>
  <c r="I19" i="1"/>
  <c r="R10" i="3"/>
  <c r="J17" i="3"/>
  <c r="M14" i="6"/>
  <c r="I18" i="1"/>
  <c r="T10" i="1"/>
  <c r="J18" i="3"/>
  <c r="O23" i="4"/>
  <c r="F20" i="1"/>
  <c r="L9" i="7"/>
  <c r="I20" i="1"/>
  <c r="O14" i="4"/>
  <c r="O16" i="4" s="1"/>
  <c r="I8" i="3"/>
  <c r="I20" i="3"/>
  <c r="P10" i="3"/>
  <c r="F10" i="1"/>
  <c r="R8" i="3"/>
  <c r="N27" i="4"/>
  <c r="R14" i="4"/>
  <c r="R20" i="4"/>
  <c r="F14" i="5"/>
  <c r="F19" i="5" s="1"/>
  <c r="S7" i="5"/>
  <c r="H8" i="5"/>
  <c r="F9" i="5"/>
  <c r="H15" i="3"/>
  <c r="T27" i="4"/>
  <c r="H20" i="1"/>
  <c r="G24" i="3"/>
  <c r="N15" i="6"/>
  <c r="G15" i="6"/>
  <c r="K11" i="1"/>
  <c r="M20" i="4"/>
  <c r="I9" i="4"/>
  <c r="G23" i="1"/>
  <c r="O10" i="5"/>
  <c r="H15" i="1"/>
  <c r="R15" i="4"/>
  <c r="J15" i="6"/>
  <c r="M8" i="6"/>
  <c r="G10" i="4"/>
  <c r="G27" i="4" s="1"/>
  <c r="S10" i="7"/>
  <c r="F10" i="6"/>
  <c r="K23" i="3"/>
  <c r="S10" i="1"/>
  <c r="J23" i="3"/>
  <c r="Q15" i="3"/>
  <c r="O7" i="1"/>
  <c r="S7" i="1"/>
  <c r="R18" i="4"/>
  <c r="K10" i="4"/>
  <c r="H11" i="1"/>
  <c r="F24" i="1"/>
  <c r="I23" i="4"/>
  <c r="I24" i="4" s="1"/>
  <c r="N16" i="4"/>
  <c r="F11" i="5"/>
  <c r="G11" i="5"/>
  <c r="T8" i="5"/>
  <c r="Q8" i="5"/>
  <c r="S15" i="3"/>
  <c r="T9" i="4"/>
  <c r="H19" i="1"/>
  <c r="O16" i="1"/>
  <c r="R19" i="4"/>
  <c r="H16" i="6"/>
  <c r="Q10" i="7"/>
  <c r="S10" i="6"/>
  <c r="Q14" i="1"/>
  <c r="Q19" i="1" s="1"/>
  <c r="R9" i="4"/>
  <c r="J7" i="4"/>
  <c r="J24" i="3"/>
  <c r="Q17" i="1"/>
  <c r="S18" i="4"/>
  <c r="I10" i="3"/>
  <c r="M20" i="3"/>
  <c r="P7" i="3"/>
  <c r="J19" i="1"/>
  <c r="F28" i="1"/>
  <c r="S8" i="5"/>
  <c r="P8" i="5"/>
  <c r="S19" i="3"/>
  <c r="S9" i="1"/>
  <c r="Q16" i="4"/>
  <c r="R15" i="6"/>
  <c r="P9" i="7"/>
  <c r="Q26" i="3"/>
  <c r="K10" i="3"/>
  <c r="N8" i="1"/>
  <c r="R17" i="1"/>
  <c r="K24" i="3"/>
  <c r="K14" i="5"/>
  <c r="K20" i="5" s="1"/>
  <c r="P7" i="5"/>
  <c r="P9" i="5" s="1"/>
  <c r="M9" i="1"/>
  <c r="L8" i="5"/>
  <c r="L25" i="3"/>
  <c r="M16" i="1"/>
  <c r="K18" i="3"/>
  <c r="G29" i="3"/>
  <c r="K10" i="5"/>
  <c r="P24" i="4"/>
  <c r="T26" i="1"/>
  <c r="S16" i="6"/>
  <c r="I18" i="4"/>
  <c r="P14" i="5"/>
  <c r="P19" i="5" s="1"/>
  <c r="L11" i="5"/>
  <c r="R29" i="4"/>
  <c r="G7" i="3"/>
  <c r="I10" i="4"/>
  <c r="L19" i="3"/>
  <c r="G27" i="1"/>
  <c r="O15" i="3"/>
  <c r="K9" i="5"/>
  <c r="O24" i="4"/>
  <c r="K29" i="3"/>
  <c r="F19" i="1"/>
  <c r="G20" i="4"/>
  <c r="Q19" i="4"/>
  <c r="Q17" i="6"/>
  <c r="L17" i="6"/>
  <c r="M9" i="6"/>
  <c r="G18" i="6"/>
  <c r="S17" i="6"/>
  <c r="N20" i="4"/>
  <c r="O15" i="4"/>
  <c r="L19" i="5"/>
  <c r="G19" i="5"/>
  <c r="F20" i="5"/>
  <c r="N19" i="5"/>
  <c r="P9" i="6"/>
  <c r="F9" i="4"/>
  <c r="J28" i="3"/>
  <c r="S16" i="4"/>
  <c r="O26" i="1"/>
  <c r="I25" i="4"/>
  <c r="R20" i="5"/>
  <c r="Q16" i="1"/>
  <c r="O19" i="5"/>
  <c r="K16" i="5"/>
  <c r="P16" i="5"/>
  <c r="T19" i="1"/>
  <c r="Q8" i="7"/>
  <c r="G17" i="5"/>
  <c r="I17" i="4"/>
  <c r="K10" i="7"/>
  <c r="P18" i="5"/>
  <c r="I18" i="3"/>
  <c r="Q10" i="3"/>
  <c r="K7" i="7"/>
  <c r="F17" i="4"/>
  <c r="O17" i="1"/>
  <c r="R11" i="1"/>
  <c r="H9" i="3"/>
  <c r="O8" i="3"/>
  <c r="P14" i="3"/>
  <c r="P14" i="1"/>
  <c r="K28" i="4"/>
  <c r="J20" i="1"/>
  <c r="G9" i="1"/>
  <c r="N18" i="3"/>
  <c r="L20" i="3"/>
  <c r="G11" i="4"/>
  <c r="Q11" i="5"/>
  <c r="S10" i="5"/>
  <c r="S15" i="1"/>
  <c r="R24" i="4"/>
  <c r="Q15" i="6"/>
  <c r="H7" i="1"/>
  <c r="K15" i="4"/>
  <c r="K11" i="5"/>
  <c r="F15" i="5"/>
  <c r="L15" i="6"/>
  <c r="L11" i="3"/>
  <c r="I18" i="5"/>
  <c r="O18" i="1"/>
  <c r="S10" i="4"/>
  <c r="H18" i="3"/>
  <c r="M19" i="4"/>
  <c r="F10" i="7"/>
  <c r="Q11" i="4"/>
  <c r="N18" i="5"/>
  <c r="G10" i="7"/>
  <c r="L17" i="1"/>
  <c r="H17" i="3"/>
  <c r="K19" i="3"/>
  <c r="H23" i="4"/>
  <c r="R8" i="4"/>
  <c r="O26" i="4"/>
  <c r="I14" i="5"/>
  <c r="G8" i="5"/>
  <c r="L8" i="4"/>
  <c r="J14" i="5"/>
  <c r="R25" i="1"/>
  <c r="N23" i="4"/>
  <c r="N29" i="4" s="1"/>
  <c r="G27" i="3"/>
  <c r="K16" i="1"/>
  <c r="M10" i="1"/>
  <c r="F23" i="4"/>
  <c r="N20" i="3"/>
  <c r="G10" i="5"/>
  <c r="K8" i="5"/>
  <c r="S19" i="1"/>
  <c r="I28" i="4"/>
  <c r="Q16" i="6"/>
  <c r="I9" i="7"/>
  <c r="F17" i="3"/>
  <c r="L8" i="3"/>
  <c r="G17" i="3"/>
  <c r="L14" i="4"/>
  <c r="K26" i="4"/>
  <c r="O20" i="1"/>
  <c r="O11" i="5"/>
  <c r="R15" i="1"/>
  <c r="F15" i="6"/>
  <c r="R20" i="3"/>
  <c r="I7" i="1"/>
  <c r="I15" i="4"/>
  <c r="K7" i="1"/>
  <c r="L18" i="3"/>
  <c r="T11" i="5"/>
  <c r="P27" i="4"/>
  <c r="F11" i="1"/>
  <c r="F16" i="3"/>
  <c r="R16" i="6"/>
  <c r="R19" i="1"/>
  <c r="F29" i="4"/>
  <c r="R16" i="4"/>
  <c r="R24" i="1"/>
  <c r="N28" i="4"/>
  <c r="R28" i="3"/>
  <c r="F27" i="4"/>
  <c r="L27" i="4"/>
  <c r="J18" i="6"/>
  <c r="I9" i="6"/>
  <c r="G19" i="4"/>
  <c r="L15" i="5"/>
  <c r="G16" i="5"/>
  <c r="N15" i="5"/>
  <c r="N25" i="4"/>
  <c r="F28" i="4"/>
  <c r="O9" i="1"/>
  <c r="O15" i="6"/>
  <c r="J23" i="4"/>
  <c r="L16" i="4"/>
  <c r="N27" i="1"/>
  <c r="K15" i="5"/>
  <c r="S26" i="4"/>
  <c r="T20" i="1"/>
  <c r="S25" i="4"/>
  <c r="H25" i="4"/>
  <c r="J11" i="5"/>
  <c r="G29" i="4"/>
  <c r="T23" i="1"/>
  <c r="K20" i="3"/>
  <c r="N18" i="6"/>
  <c r="N15" i="4"/>
  <c r="I20" i="5"/>
  <c r="J15" i="5"/>
  <c r="J26" i="4"/>
  <c r="O20" i="5"/>
  <c r="K27" i="1"/>
  <c r="P20" i="5"/>
  <c r="H10" i="3"/>
  <c r="J7" i="1"/>
  <c r="O27" i="4"/>
  <c r="H24" i="4"/>
  <c r="Q28" i="3"/>
  <c r="K11" i="3"/>
  <c r="J7" i="3"/>
  <c r="F20" i="4"/>
  <c r="M23" i="1"/>
  <c r="P11" i="5"/>
  <c r="R25" i="4"/>
  <c r="T14" i="4"/>
  <c r="S20" i="4"/>
  <c r="J20" i="4"/>
  <c r="S20" i="1"/>
  <c r="M15" i="6"/>
  <c r="Q29" i="3"/>
  <c r="T19" i="4"/>
  <c r="F16" i="5"/>
  <c r="P28" i="1"/>
  <c r="M10" i="4"/>
  <c r="H16" i="4"/>
  <c r="T28" i="1"/>
  <c r="Q24" i="3"/>
  <c r="O28" i="3"/>
  <c r="G17" i="6"/>
  <c r="G15" i="5"/>
  <c r="N24" i="4"/>
  <c r="S19" i="4"/>
  <c r="R19" i="5"/>
  <c r="L20" i="4"/>
  <c r="K19" i="5"/>
  <c r="S28" i="4"/>
  <c r="P11" i="6"/>
  <c r="P14" i="7"/>
  <c r="G8" i="4"/>
  <c r="K14" i="6"/>
  <c r="L11" i="1"/>
  <c r="L27" i="1" s="1"/>
  <c r="L26" i="1"/>
  <c r="M11" i="4"/>
  <c r="F23" i="3"/>
  <c r="K20" i="4"/>
  <c r="G14" i="1"/>
  <c r="H11" i="5"/>
  <c r="G24" i="4"/>
  <c r="P14" i="4"/>
  <c r="N7" i="5"/>
  <c r="N9" i="5" s="1"/>
  <c r="T14" i="6"/>
  <c r="P18" i="3"/>
  <c r="T28" i="3"/>
  <c r="G16" i="4"/>
  <c r="G14" i="3"/>
  <c r="R10" i="1"/>
  <c r="H14" i="5"/>
  <c r="R8" i="5"/>
  <c r="G7" i="5"/>
  <c r="G9" i="5" s="1"/>
  <c r="P9" i="4"/>
  <c r="M26" i="1"/>
  <c r="M29" i="1"/>
  <c r="G16" i="6"/>
  <c r="F11" i="6"/>
  <c r="M17" i="3"/>
  <c r="P8" i="4"/>
  <c r="I11" i="4"/>
  <c r="L26" i="4"/>
  <c r="T11" i="3"/>
  <c r="J7" i="5"/>
  <c r="P25" i="1"/>
  <c r="M11" i="6"/>
  <c r="J18" i="1"/>
  <c r="M19" i="1"/>
  <c r="O7" i="5"/>
  <c r="O9" i="5" s="1"/>
  <c r="G20" i="1"/>
  <c r="Q19" i="3"/>
  <c r="J16" i="6"/>
  <c r="M27" i="3"/>
  <c r="O29" i="4"/>
  <c r="H16" i="1"/>
  <c r="L16" i="6"/>
  <c r="M25" i="3"/>
  <c r="R7" i="5"/>
  <c r="G25" i="3"/>
  <c r="S23" i="3"/>
  <c r="M7" i="5"/>
  <c r="F16" i="6"/>
  <c r="P25" i="4"/>
  <c r="T24" i="3"/>
  <c r="H28" i="3"/>
  <c r="T20" i="4"/>
  <c r="T9" i="5"/>
  <c r="L9" i="5"/>
  <c r="Q18" i="6"/>
  <c r="M18" i="6"/>
  <c r="S18" i="6"/>
  <c r="N19" i="4"/>
  <c r="O19" i="4"/>
  <c r="I16" i="5"/>
  <c r="H15" i="4"/>
  <c r="J16" i="5"/>
  <c r="P18" i="6"/>
  <c r="J25" i="3"/>
  <c r="M25" i="1"/>
  <c r="Q20" i="1"/>
  <c r="J9" i="4"/>
  <c r="O15" i="5"/>
  <c r="I26" i="1"/>
  <c r="P15" i="5"/>
  <c r="I29" i="4"/>
  <c r="S17" i="5"/>
  <c r="K8" i="7"/>
  <c r="L27" i="3"/>
  <c r="H8" i="6"/>
  <c r="G7" i="7"/>
  <c r="I16" i="3"/>
  <c r="N14" i="1"/>
  <c r="R26" i="4"/>
  <c r="T23" i="4"/>
  <c r="T26" i="4"/>
  <c r="Q10" i="5"/>
  <c r="P26" i="4"/>
  <c r="P15" i="6"/>
  <c r="J8" i="4"/>
  <c r="J10" i="5"/>
  <c r="K18" i="6"/>
  <c r="S8" i="1"/>
  <c r="H26" i="4"/>
  <c r="M15" i="4"/>
  <c r="T16" i="3"/>
  <c r="L14" i="1"/>
  <c r="J29" i="3"/>
  <c r="S14" i="5"/>
  <c r="O8" i="5"/>
  <c r="T10" i="5"/>
  <c r="P15" i="1"/>
  <c r="G15" i="3"/>
  <c r="G28" i="1"/>
  <c r="F9" i="6"/>
  <c r="I17" i="5"/>
  <c r="H8" i="1"/>
  <c r="M18" i="4"/>
  <c r="I19" i="4"/>
  <c r="N17" i="1"/>
  <c r="P10" i="1"/>
  <c r="P29" i="1" s="1"/>
  <c r="T14" i="5"/>
  <c r="M8" i="5"/>
  <c r="R28" i="4"/>
  <c r="R7" i="6"/>
  <c r="R15" i="3"/>
  <c r="O27" i="3"/>
  <c r="M11" i="5"/>
  <c r="Q14" i="5"/>
  <c r="G17" i="1"/>
  <c r="J20" i="3"/>
  <c r="M14" i="5"/>
  <c r="M19" i="3"/>
  <c r="G28" i="3"/>
  <c r="Q15" i="4"/>
  <c r="I10" i="5"/>
  <c r="I15" i="3"/>
  <c r="J16" i="3"/>
  <c r="Q9" i="6"/>
  <c r="T29" i="4"/>
  <c r="T27" i="1"/>
  <c r="L23" i="4"/>
  <c r="M28" i="1"/>
  <c r="Q15" i="1"/>
  <c r="Q16" i="5"/>
  <c r="M16" i="5"/>
  <c r="I27" i="4"/>
  <c r="Q8" i="6"/>
  <c r="M8" i="4"/>
  <c r="M26" i="3"/>
  <c r="J27" i="3"/>
  <c r="T17" i="6"/>
  <c r="S9" i="3"/>
  <c r="I26" i="3"/>
  <c r="M10" i="5"/>
  <c r="I15" i="6"/>
  <c r="O19" i="1"/>
  <c r="O11" i="4"/>
  <c r="H19" i="4"/>
  <c r="R25" i="3"/>
  <c r="P10" i="5"/>
  <c r="H16" i="3"/>
  <c r="J19" i="4"/>
  <c r="N16" i="6"/>
  <c r="S8" i="3"/>
  <c r="Q7" i="4"/>
  <c r="G26" i="1"/>
  <c r="F10" i="5"/>
  <c r="G15" i="1"/>
  <c r="F8" i="3"/>
  <c r="F9" i="1"/>
  <c r="M16" i="6"/>
  <c r="R16" i="3"/>
  <c r="I11" i="5"/>
  <c r="I23" i="3"/>
  <c r="K20" i="1"/>
  <c r="M27" i="1"/>
  <c r="S16" i="1"/>
  <c r="S9" i="5"/>
  <c r="L9" i="3"/>
  <c r="I17" i="6"/>
  <c r="L16" i="5"/>
  <c r="N16" i="5"/>
  <c r="F25" i="4"/>
  <c r="H15" i="5"/>
  <c r="T20" i="5"/>
  <c r="N26" i="1"/>
  <c r="S9" i="4"/>
  <c r="I28" i="3"/>
  <c r="T15" i="1"/>
  <c r="J9" i="5"/>
  <c r="H20" i="4"/>
  <c r="Q9" i="3"/>
  <c r="Q9" i="4"/>
  <c r="Q23" i="1"/>
  <c r="P9" i="3"/>
  <c r="N28" i="3"/>
  <c r="L23" i="1"/>
  <c r="R9" i="6"/>
  <c r="H24" i="3"/>
  <c r="Q29" i="1"/>
  <c r="L25" i="1"/>
  <c r="M9" i="3"/>
  <c r="K9" i="6"/>
  <c r="T9" i="7"/>
  <c r="F9" i="3"/>
  <c r="H27" i="4"/>
  <c r="T29" i="3"/>
  <c r="Q28" i="1"/>
  <c r="M15" i="1"/>
  <c r="T9" i="6"/>
  <c r="F25" i="1"/>
  <c r="S9" i="7"/>
  <c r="L24" i="1"/>
  <c r="M29" i="3"/>
  <c r="G15" i="4"/>
  <c r="N9" i="7"/>
  <c r="O9" i="6"/>
  <c r="M16" i="3"/>
  <c r="T9" i="1"/>
  <c r="I9" i="3"/>
  <c r="T25" i="4"/>
  <c r="J9" i="6"/>
  <c r="O9" i="7"/>
  <c r="K9" i="7"/>
  <c r="Q25" i="1"/>
  <c r="L29" i="1"/>
  <c r="G9" i="6"/>
  <c r="R9" i="7"/>
  <c r="N9" i="3"/>
  <c r="N26" i="4"/>
  <c r="L28" i="1"/>
  <c r="F15" i="1"/>
  <c r="P27" i="1"/>
  <c r="S9" i="6"/>
  <c r="G9" i="7"/>
  <c r="F9" i="7"/>
  <c r="O20" i="4"/>
  <c r="Q24" i="1"/>
  <c r="F15" i="4"/>
  <c r="F19" i="4"/>
  <c r="O24" i="3"/>
  <c r="O25" i="3"/>
  <c r="L16" i="3"/>
  <c r="P9" i="1"/>
  <c r="H25" i="3"/>
  <c r="H29" i="3"/>
  <c r="M24" i="1"/>
  <c r="N9" i="1"/>
  <c r="F26" i="4"/>
  <c r="F24" i="4"/>
  <c r="L24" i="4"/>
  <c r="L9" i="4"/>
  <c r="I18" i="6"/>
  <c r="I16" i="6"/>
  <c r="F17" i="6"/>
  <c r="F18" i="6"/>
  <c r="O27" i="1"/>
  <c r="O23" i="1"/>
  <c r="M23" i="4"/>
  <c r="M26" i="4"/>
  <c r="M9" i="4"/>
  <c r="O25" i="4"/>
  <c r="O28" i="4"/>
  <c r="G25" i="1"/>
  <c r="K28" i="3"/>
  <c r="K29" i="4"/>
  <c r="J25" i="4"/>
  <c r="J28" i="4"/>
  <c r="J27" i="4"/>
  <c r="N23" i="1"/>
  <c r="P16" i="3"/>
  <c r="P15" i="3"/>
  <c r="P20" i="3"/>
  <c r="P16" i="1"/>
  <c r="P20" i="1"/>
  <c r="H9" i="1"/>
  <c r="S29" i="4"/>
  <c r="S27" i="4"/>
  <c r="H28" i="4"/>
  <c r="H29" i="4"/>
  <c r="I15" i="5"/>
  <c r="I19" i="5"/>
  <c r="J20" i="5"/>
  <c r="J19" i="5"/>
  <c r="L19" i="4"/>
  <c r="L15" i="4"/>
  <c r="I27" i="1"/>
  <c r="I9" i="1"/>
  <c r="I23" i="1"/>
  <c r="K23" i="1"/>
  <c r="K26" i="1"/>
  <c r="K28" i="1"/>
  <c r="K9" i="1"/>
  <c r="F29" i="1"/>
  <c r="F27" i="1"/>
  <c r="J24" i="4"/>
  <c r="J29" i="4"/>
  <c r="T29" i="1"/>
  <c r="T25" i="1"/>
  <c r="T24" i="1"/>
  <c r="J27" i="1"/>
  <c r="J26" i="1"/>
  <c r="J23" i="1"/>
  <c r="J9" i="1"/>
  <c r="J24" i="1"/>
  <c r="T16" i="4"/>
  <c r="M27" i="4"/>
  <c r="M29" i="4"/>
  <c r="K16" i="6"/>
  <c r="K15" i="6"/>
  <c r="F25" i="3"/>
  <c r="F24" i="3"/>
  <c r="F29" i="3"/>
  <c r="F28" i="3"/>
  <c r="G16" i="1"/>
  <c r="G19" i="1"/>
  <c r="P15" i="4"/>
  <c r="P16" i="4"/>
  <c r="P19" i="4"/>
  <c r="T16" i="6"/>
  <c r="T15" i="6"/>
  <c r="G16" i="3"/>
  <c r="G19" i="3"/>
  <c r="G20" i="3"/>
  <c r="R29" i="1"/>
  <c r="H20" i="5"/>
  <c r="H16" i="5"/>
  <c r="H19" i="5"/>
  <c r="S24" i="3"/>
  <c r="S25" i="3"/>
  <c r="S29" i="3"/>
  <c r="S28" i="3"/>
  <c r="N20" i="1"/>
  <c r="N19" i="1"/>
  <c r="N16" i="1"/>
  <c r="N15" i="1"/>
  <c r="T28" i="4"/>
  <c r="T24" i="4"/>
  <c r="S23" i="1"/>
  <c r="S26" i="1"/>
  <c r="S27" i="1"/>
  <c r="S25" i="1"/>
  <c r="L16" i="1"/>
  <c r="L20" i="1"/>
  <c r="L15" i="1"/>
  <c r="S19" i="5"/>
  <c r="S16" i="5"/>
  <c r="S20" i="5"/>
  <c r="S15" i="5"/>
  <c r="H26" i="1"/>
  <c r="H27" i="1"/>
  <c r="H23" i="1"/>
  <c r="T19" i="5"/>
  <c r="T15" i="5"/>
  <c r="T16" i="5"/>
  <c r="R18" i="6"/>
  <c r="R17" i="6"/>
  <c r="Q20" i="5"/>
  <c r="Q15" i="5"/>
  <c r="Q19" i="5"/>
  <c r="M19" i="5"/>
  <c r="M20" i="5"/>
  <c r="M15" i="5"/>
  <c r="L29" i="4"/>
  <c r="L25" i="4"/>
  <c r="L28" i="4"/>
  <c r="Q27" i="4"/>
  <c r="Q26" i="4"/>
  <c r="Q23" i="4"/>
  <c r="I25" i="3"/>
  <c r="I29" i="3"/>
  <c r="I24" i="3"/>
  <c r="O29" i="1"/>
  <c r="O28" i="1"/>
  <c r="O25" i="1"/>
  <c r="O24" i="1"/>
  <c r="M24" i="4"/>
  <c r="M28" i="4"/>
  <c r="M25" i="4"/>
  <c r="N29" i="1"/>
  <c r="N24" i="1"/>
  <c r="N28" i="1"/>
  <c r="N25" i="1"/>
  <c r="I25" i="1"/>
  <c r="I24" i="1"/>
  <c r="I29" i="1"/>
  <c r="I28" i="1"/>
  <c r="K24" i="1"/>
  <c r="K25" i="1"/>
  <c r="K29" i="1"/>
  <c r="J29" i="1"/>
  <c r="J28" i="1"/>
  <c r="S24" i="1"/>
  <c r="S29" i="1"/>
  <c r="S28" i="1"/>
  <c r="H25" i="1"/>
  <c r="H28" i="1"/>
  <c r="H24" i="1"/>
  <c r="H29" i="1"/>
  <c r="Q24" i="4"/>
  <c r="Q29" i="4"/>
  <c r="Q25" i="4"/>
  <c r="Q28" i="4"/>
  <c r="J30" i="1" l="1"/>
  <c r="K30" i="1"/>
  <c r="I30" i="1"/>
  <c r="H30" i="1"/>
  <c r="S30" i="1"/>
  <c r="O30" i="1"/>
  <c r="N30" i="1"/>
  <c r="M30" i="1"/>
  <c r="T30" i="1"/>
  <c r="G30" i="1"/>
  <c r="P30" i="1"/>
  <c r="R30" i="1"/>
  <c r="F30" i="1"/>
  <c r="L30" i="1"/>
  <c r="Q30" i="1"/>
  <c r="J25" i="1"/>
  <c r="R27" i="1"/>
  <c r="J9" i="3"/>
  <c r="H33" i="1"/>
  <c r="H31" i="1"/>
  <c r="K27" i="4"/>
  <c r="G24" i="1"/>
  <c r="P28" i="4"/>
  <c r="J15" i="4"/>
  <c r="P33" i="1"/>
  <c r="P31" i="1"/>
  <c r="K19" i="4"/>
  <c r="Q33" i="1"/>
  <c r="Q31" i="1"/>
  <c r="L19" i="1"/>
  <c r="T18" i="6"/>
  <c r="J31" i="1"/>
  <c r="J33" i="1"/>
  <c r="P19" i="1"/>
  <c r="S31" i="1"/>
  <c r="S33" i="1"/>
  <c r="N31" i="1"/>
  <c r="N33" i="1"/>
  <c r="Q9" i="5"/>
  <c r="R16" i="1"/>
  <c r="R31" i="1"/>
  <c r="R33" i="1"/>
  <c r="H18" i="6"/>
  <c r="J16" i="1"/>
  <c r="T15" i="4"/>
  <c r="I31" i="1"/>
  <c r="I33" i="1"/>
  <c r="K25" i="3"/>
  <c r="T33" i="1"/>
  <c r="T31" i="1"/>
  <c r="F33" i="1"/>
  <c r="F31" i="1"/>
  <c r="M9" i="5"/>
  <c r="P20" i="4"/>
  <c r="K31" i="1"/>
  <c r="K33" i="1"/>
  <c r="P19" i="3"/>
  <c r="O31" i="1"/>
  <c r="O33" i="1"/>
  <c r="M31" i="1"/>
  <c r="M32" i="1" s="1"/>
  <c r="M33" i="1"/>
  <c r="I9" i="5"/>
  <c r="G33" i="1"/>
  <c r="G31" i="1"/>
  <c r="L15" i="3"/>
  <c r="Q9" i="7"/>
  <c r="H9" i="7"/>
  <c r="G9" i="4"/>
  <c r="R9" i="5"/>
  <c r="G9" i="3"/>
  <c r="G29" i="1"/>
  <c r="L33" i="1"/>
  <c r="L31" i="1"/>
  <c r="L32" i="1"/>
  <c r="F32" i="1"/>
  <c r="N32" i="1"/>
  <c r="P32" i="1"/>
  <c r="G32" i="1"/>
  <c r="T32" i="1"/>
  <c r="S32" i="1"/>
  <c r="H32" i="1"/>
  <c r="O32" i="1"/>
  <c r="I32" i="1"/>
  <c r="J32" i="1"/>
  <c r="K32" i="1"/>
  <c r="R32" i="1"/>
  <c r="Q32" i="1"/>
</calcChain>
</file>

<file path=xl/sharedStrings.xml><?xml version="1.0" encoding="utf-8"?>
<sst xmlns="http://schemas.openxmlformats.org/spreadsheetml/2006/main" count="220" uniqueCount="55">
  <si>
    <t>DubininArctan1</t>
  </si>
  <si>
    <t>VaporPressure_EoS1</t>
  </si>
  <si>
    <t>SaturatedLiquidDensity_EoS1</t>
  </si>
  <si>
    <t>Water</t>
  </si>
  <si>
    <t>silica gel pellet</t>
  </si>
  <si>
    <t>Definition of the working pair</t>
  </si>
  <si>
    <t>ID of equation</t>
  </si>
  <si>
    <t>Pressure in Pa</t>
  </si>
  <si>
    <t>Temperature in K</t>
  </si>
  <si>
    <t>Sorbent</t>
  </si>
  <si>
    <t>Subtype</t>
  </si>
  <si>
    <t>Refrigerant</t>
  </si>
  <si>
    <t>Equilibrium equation</t>
  </si>
  <si>
    <t>Vapor pressure equation</t>
  </si>
  <si>
    <t>Saturated liquid density equation</t>
  </si>
  <si>
    <t>Definition of inputs for calculations</t>
  </si>
  <si>
    <t>Perform calculations with isotherm functions that are always defined for adsorption working pairs</t>
  </si>
  <si>
    <t>Loading in kg/kg</t>
  </si>
  <si>
    <t>Pressure (inverse) in Pa</t>
  </si>
  <si>
    <t>Temperature (inverse) in K</t>
  </si>
  <si>
    <t>Der. loading wrt. pressure in kg/kg/Pa</t>
  </si>
  <si>
    <t>Der. pressure wrt. temperature in Pa/K</t>
  </si>
  <si>
    <t>Der. pressure wrt. loading in Pa.kg/kg</t>
  </si>
  <si>
    <t>Der. loading wrt. temperature in kg/kg/K</t>
  </si>
  <si>
    <t>Vapor pressure in Pa</t>
  </si>
  <si>
    <t>Saturated liquid density in kg/m³</t>
  </si>
  <si>
    <t>Saturation temperature (inverse) in K</t>
  </si>
  <si>
    <t>Der. vapor pressure wrt. temperature in Pa/K</t>
  </si>
  <si>
    <t>Der. saturated liquid density wrt. temperature in kg/m³/K</t>
  </si>
  <si>
    <t>zeolite pellet</t>
  </si>
  <si>
    <t>13X</t>
  </si>
  <si>
    <t>Toth</t>
  </si>
  <si>
    <t>Perform calculations with isotherm functions that are only defined for adsorption working pairs based on the surface approach</t>
  </si>
  <si>
    <t>Fuji RD</t>
  </si>
  <si>
    <t>Freundlich</t>
  </si>
  <si>
    <t>Adsorption potential in J/mol</t>
  </si>
  <si>
    <t>Volumetric loading in m³/kg</t>
  </si>
  <si>
    <t>Der. volumetric loading wrt. adsorption potential in m³.mol/kg/J</t>
  </si>
  <si>
    <t>Der. adsorption potential wrt. voluemtric loading in J.kg/mol/m³</t>
  </si>
  <si>
    <t>NaOH-KOH-CsOH</t>
  </si>
  <si>
    <t>Duehring</t>
  </si>
  <si>
    <t>R-134a</t>
  </si>
  <si>
    <t>POE</t>
  </si>
  <si>
    <t>lubricant</t>
  </si>
  <si>
    <t>WilsonFixedDl</t>
  </si>
  <si>
    <t>Concentration in kg/kg</t>
  </si>
  <si>
    <t>Der. concentration wrt. pressure in kg/kg/Pa</t>
  </si>
  <si>
    <t>Der. concentration wrt. temperature in kg/kg/K</t>
  </si>
  <si>
    <t>Der. pressure wrt. concentration in Pa.kg/kg</t>
  </si>
  <si>
    <t>Molar fraction in mol/mol</t>
  </si>
  <si>
    <t>Der. pressure wrt. molar fraction in Pa.mol/mol</t>
  </si>
  <si>
    <t>Activity coefficient</t>
  </si>
  <si>
    <t>POE ISO7</t>
  </si>
  <si>
    <t>Isobutane</t>
  </si>
  <si>
    <t>MixingRule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</si>
</sst>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5" borderId="2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1" fillId="5" borderId="6" xfId="0" applyFont="1" applyFill="1" applyBorder="1"/>
    <xf numFmtId="0" fontId="1" fillId="5" borderId="7" xfId="0" applyFont="1" applyFill="1" applyBorder="1"/>
    <xf numFmtId="0" fontId="1" fillId="5" borderId="8" xfId="0" applyFont="1" applyFill="1" applyBorder="1"/>
    <xf numFmtId="0" fontId="0" fillId="5" borderId="0" xfId="0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10" xfId="0" applyFill="1" applyBorder="1" applyAlignment="1">
      <alignment horizontal="right"/>
    </xf>
    <xf numFmtId="0" fontId="0" fillId="5" borderId="3" xfId="0" applyFill="1" applyBorder="1" applyAlignment="1">
      <alignment horizontal="right"/>
    </xf>
    <xf numFmtId="164" fontId="0" fillId="2" borderId="0" xfId="0" applyNumberFormat="1" applyFill="1" applyBorder="1" applyAlignment="1">
      <alignment horizontal="right"/>
    </xf>
    <xf numFmtId="164" fontId="0" fillId="2" borderId="2" xfId="0" applyNumberForma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2" borderId="2" xfId="0" applyNumberFormat="1" applyFill="1" applyBorder="1" applyAlignment="1">
      <alignment horizontal="right"/>
    </xf>
    <xf numFmtId="0" fontId="0" fillId="2" borderId="10" xfId="0" applyFill="1" applyBorder="1"/>
    <xf numFmtId="0" fontId="0" fillId="2" borderId="3" xfId="0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2" xfId="0" applyFont="1" applyFill="1" applyBorder="1"/>
    <xf numFmtId="0" fontId="0" fillId="2" borderId="13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9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3" xfId="0" applyFill="1" applyBorder="1"/>
    <xf numFmtId="0" fontId="0" fillId="2" borderId="14" xfId="0" applyFill="1" applyBorder="1"/>
    <xf numFmtId="1" fontId="0" fillId="5" borderId="0" xfId="0" applyNumberFormat="1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T29"/>
  <sheetViews>
    <sheetView tabSelected="1" zoomScale="85" zoomScaleNormal="85" workbookViewId="0">
      <selection activeCell="H30" sqref="H30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37.5703125" customWidth="1"/>
    <col min="6" max="14" width="12.85546875" bestFit="1" customWidth="1"/>
    <col min="15" max="15" width="11.85546875" bestFit="1" customWidth="1"/>
    <col min="16" max="16" width="12.85546875" bestFit="1" customWidth="1"/>
    <col min="17" max="17" width="10.85546875" bestFit="1" customWidth="1"/>
    <col min="18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29</v>
      </c>
      <c r="E3" s="3" t="s">
        <v>7</v>
      </c>
      <c r="F3" s="6">
        <v>1500</v>
      </c>
      <c r="G3" s="6">
        <v>2000</v>
      </c>
      <c r="H3" s="6">
        <v>2500</v>
      </c>
      <c r="I3" s="6">
        <v>1500</v>
      </c>
      <c r="J3" s="6">
        <v>2000</v>
      </c>
      <c r="K3" s="6">
        <v>2500</v>
      </c>
      <c r="L3" s="6">
        <v>1500</v>
      </c>
      <c r="M3" s="6">
        <v>2000</v>
      </c>
      <c r="N3" s="6">
        <v>2500</v>
      </c>
      <c r="O3" s="6">
        <v>1500</v>
      </c>
      <c r="P3" s="6">
        <v>2000</v>
      </c>
      <c r="Q3" s="6">
        <v>2500</v>
      </c>
      <c r="R3" s="6">
        <v>1500</v>
      </c>
      <c r="S3" s="6">
        <v>2000</v>
      </c>
      <c r="T3" s="7">
        <v>2500</v>
      </c>
    </row>
    <row r="4" spans="2:20" ht="15.75" thickBot="1" x14ac:dyDescent="0.3">
      <c r="B4" s="4" t="s">
        <v>10</v>
      </c>
      <c r="C4" s="1" t="s">
        <v>30</v>
      </c>
      <c r="E4" s="5" t="s">
        <v>8</v>
      </c>
      <c r="F4" s="8">
        <v>283</v>
      </c>
      <c r="G4" s="8">
        <v>283</v>
      </c>
      <c r="H4" s="8">
        <v>283</v>
      </c>
      <c r="I4" s="8">
        <v>303</v>
      </c>
      <c r="J4" s="8">
        <v>303</v>
      </c>
      <c r="K4" s="8">
        <v>303</v>
      </c>
      <c r="L4" s="8">
        <v>323</v>
      </c>
      <c r="M4" s="8">
        <v>323</v>
      </c>
      <c r="N4" s="8">
        <v>323</v>
      </c>
      <c r="O4" s="8">
        <v>343</v>
      </c>
      <c r="P4" s="8">
        <v>343</v>
      </c>
      <c r="Q4" s="8">
        <v>343</v>
      </c>
      <c r="R4" s="8">
        <v>363</v>
      </c>
      <c r="S4" s="8">
        <v>363</v>
      </c>
      <c r="T4" s="9">
        <v>363</v>
      </c>
    </row>
    <row r="5" spans="2:20" ht="15.75" thickBot="1" x14ac:dyDescent="0.3">
      <c r="B5" s="4" t="s">
        <v>11</v>
      </c>
      <c r="C5" s="1" t="s">
        <v>3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31</v>
      </c>
      <c r="E7" s="18" t="s">
        <v>24</v>
      </c>
      <c r="F7" s="24">
        <f>ws_direct_ref_p_sat_T(F4,$C$3,$C$4,$C$5,$C$7,$C$8,$C$9,$C$10,$C$11,$C$12)</f>
        <v>1215.8227747140943</v>
      </c>
      <c r="G7" s="24">
        <f t="shared" ref="G7:T7" si="0">ws_direct_ref_p_sat_T(G4,$C$3,$C$4,$C$5,$C$7,$C$8,$C$9,$C$10,$C$11,$C$12)</f>
        <v>1215.8227747140943</v>
      </c>
      <c r="H7" s="24">
        <f t="shared" si="0"/>
        <v>1215.8227747140943</v>
      </c>
      <c r="I7" s="24">
        <f t="shared" si="0"/>
        <v>4210.4855765112125</v>
      </c>
      <c r="J7" s="24">
        <f t="shared" si="0"/>
        <v>4210.4855765112125</v>
      </c>
      <c r="K7" s="24">
        <f t="shared" si="0"/>
        <v>4210.4855765112125</v>
      </c>
      <c r="L7" s="24">
        <f t="shared" si="0"/>
        <v>12260.826272925424</v>
      </c>
      <c r="M7" s="24">
        <f t="shared" si="0"/>
        <v>12260.826272925424</v>
      </c>
      <c r="N7" s="24">
        <f t="shared" si="0"/>
        <v>12260.826272925424</v>
      </c>
      <c r="O7" s="24">
        <f t="shared" si="0"/>
        <v>31000.342915261295</v>
      </c>
      <c r="P7" s="24">
        <f t="shared" si="0"/>
        <v>31000.342915261295</v>
      </c>
      <c r="Q7" s="24">
        <f t="shared" si="0"/>
        <v>31000.342915261295</v>
      </c>
      <c r="R7" s="24">
        <f t="shared" si="0"/>
        <v>69783.814092772038</v>
      </c>
      <c r="S7" s="24">
        <f t="shared" si="0"/>
        <v>69783.814092772038</v>
      </c>
      <c r="T7" s="25">
        <f t="shared" si="0"/>
        <v>69783.814092772038</v>
      </c>
    </row>
    <row r="8" spans="2:20" x14ac:dyDescent="0.25">
      <c r="B8" s="4" t="s">
        <v>6</v>
      </c>
      <c r="C8" s="1">
        <v>1</v>
      </c>
      <c r="E8" s="19" t="s">
        <v>25</v>
      </c>
      <c r="F8" s="26">
        <f>ws_direct_ref_rho_l_T(F4,$C$3,$C$4,$C$5,$C$7,$C$8,$C$9,$C$10,$C$11,$C$12)</f>
        <v>999.66457580337305</v>
      </c>
      <c r="G8" s="26">
        <f t="shared" ref="G8:T8" si="1">ws_direct_ref_rho_l_T(G4,$C$3,$C$4,$C$5,$C$7,$C$8,$C$9,$C$10,$C$11,$C$12)</f>
        <v>999.66457580337305</v>
      </c>
      <c r="H8" s="26">
        <f t="shared" si="1"/>
        <v>999.66457580337305</v>
      </c>
      <c r="I8" s="26">
        <f t="shared" si="1"/>
        <v>995.64718834261362</v>
      </c>
      <c r="J8" s="26">
        <f t="shared" si="1"/>
        <v>995.64718834261362</v>
      </c>
      <c r="K8" s="26">
        <f t="shared" si="1"/>
        <v>995.64718834261362</v>
      </c>
      <c r="L8" s="26">
        <f t="shared" si="1"/>
        <v>988.05858998506767</v>
      </c>
      <c r="M8" s="26">
        <f t="shared" si="1"/>
        <v>988.05858998506767</v>
      </c>
      <c r="N8" s="26">
        <f t="shared" si="1"/>
        <v>988.05858998506767</v>
      </c>
      <c r="O8" s="26">
        <f t="shared" si="1"/>
        <v>977.81310224425124</v>
      </c>
      <c r="P8" s="26">
        <f t="shared" si="1"/>
        <v>977.81310224425124</v>
      </c>
      <c r="Q8" s="26">
        <f t="shared" si="1"/>
        <v>977.81310224425124</v>
      </c>
      <c r="R8" s="26">
        <f t="shared" si="1"/>
        <v>965.39191820098574</v>
      </c>
      <c r="S8" s="26">
        <f t="shared" si="1"/>
        <v>965.39191820098574</v>
      </c>
      <c r="T8" s="27">
        <f t="shared" si="1"/>
        <v>965.39191820098574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283</v>
      </c>
      <c r="G9" s="28">
        <f t="shared" ref="G9:T9" si="2">ws_direct_ref_T_sat_p(G7,$C$3,$C$4,$C$5,$C$7,$C$8,$C$9,$C$10,$C$11,$C$12)</f>
        <v>283</v>
      </c>
      <c r="H9" s="28">
        <f t="shared" si="2"/>
        <v>283</v>
      </c>
      <c r="I9" s="28">
        <f t="shared" si="2"/>
        <v>303</v>
      </c>
      <c r="J9" s="28">
        <f t="shared" si="2"/>
        <v>303</v>
      </c>
      <c r="K9" s="28">
        <f t="shared" si="2"/>
        <v>303</v>
      </c>
      <c r="L9" s="28">
        <f t="shared" si="2"/>
        <v>322.99999999999989</v>
      </c>
      <c r="M9" s="28">
        <f t="shared" si="2"/>
        <v>322.99999999999989</v>
      </c>
      <c r="N9" s="28">
        <f t="shared" si="2"/>
        <v>322.99999999999989</v>
      </c>
      <c r="O9" s="28">
        <f t="shared" si="2"/>
        <v>343</v>
      </c>
      <c r="P9" s="28">
        <f t="shared" si="2"/>
        <v>343</v>
      </c>
      <c r="Q9" s="28">
        <f t="shared" si="2"/>
        <v>343</v>
      </c>
      <c r="R9" s="28">
        <f t="shared" si="2"/>
        <v>363</v>
      </c>
      <c r="S9" s="28">
        <f t="shared" si="2"/>
        <v>363</v>
      </c>
      <c r="T9" s="29">
        <f t="shared" si="2"/>
        <v>363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81.566619067642264</v>
      </c>
      <c r="G10" s="26">
        <f t="shared" ref="G10:T10" si="3">ws_direct_ref_dp_sat_dT_T(G4,$C$3,$C$4,$C$5,$C$7,$C$8,$C$9,$C$10,$C$11,$C$12)</f>
        <v>81.566619067642264</v>
      </c>
      <c r="H10" s="26">
        <f t="shared" si="3"/>
        <v>81.566619067642264</v>
      </c>
      <c r="I10" s="26">
        <f t="shared" si="3"/>
        <v>241.98691860189211</v>
      </c>
      <c r="J10" s="26">
        <f t="shared" si="3"/>
        <v>241.98691860189211</v>
      </c>
      <c r="K10" s="26">
        <f t="shared" si="3"/>
        <v>241.98691860189211</v>
      </c>
      <c r="L10" s="26">
        <f t="shared" si="3"/>
        <v>609.06809861274974</v>
      </c>
      <c r="M10" s="26">
        <f t="shared" si="3"/>
        <v>609.06809861274974</v>
      </c>
      <c r="N10" s="26">
        <f t="shared" si="3"/>
        <v>609.06809861274974</v>
      </c>
      <c r="O10" s="26">
        <f t="shared" si="3"/>
        <v>1342.014303920361</v>
      </c>
      <c r="P10" s="26">
        <f t="shared" si="3"/>
        <v>1342.014303920361</v>
      </c>
      <c r="Q10" s="26">
        <f t="shared" si="3"/>
        <v>1342.014303920361</v>
      </c>
      <c r="R10" s="26">
        <f t="shared" si="3"/>
        <v>2652.7755237052747</v>
      </c>
      <c r="S10" s="26">
        <f t="shared" si="3"/>
        <v>2652.7755237052747</v>
      </c>
      <c r="T10" s="27">
        <f t="shared" si="3"/>
        <v>2652.7755237052747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-8.5674108759820233E-2</v>
      </c>
      <c r="G11" s="16">
        <f t="shared" ref="G11:T11" si="4">ws_direct_ref_drho_l_dT_T(G4,$C$3,$C$4,$C$5,$C$7,$C$8,$C$9,$C$10,$C$11,$C$12)</f>
        <v>-8.5674108759820233E-2</v>
      </c>
      <c r="H11" s="16">
        <f t="shared" si="4"/>
        <v>-8.5674108759820233E-2</v>
      </c>
      <c r="I11" s="16">
        <f t="shared" si="4"/>
        <v>-0.30058839572636342</v>
      </c>
      <c r="J11" s="16">
        <f t="shared" si="4"/>
        <v>-0.30058839572636342</v>
      </c>
      <c r="K11" s="16">
        <f t="shared" si="4"/>
        <v>-0.30058839572636342</v>
      </c>
      <c r="L11" s="16">
        <f t="shared" si="4"/>
        <v>-0.45111370612482282</v>
      </c>
      <c r="M11" s="16">
        <f t="shared" si="4"/>
        <v>-0.45111370612482282</v>
      </c>
      <c r="N11" s="16">
        <f t="shared" si="4"/>
        <v>-0.45111370612482282</v>
      </c>
      <c r="O11" s="16">
        <f t="shared" si="4"/>
        <v>-0.56957724779885011</v>
      </c>
      <c r="P11" s="16">
        <f t="shared" si="4"/>
        <v>-0.56957724779885011</v>
      </c>
      <c r="Q11" s="16">
        <f t="shared" si="4"/>
        <v>-0.56957724779885011</v>
      </c>
      <c r="R11" s="16">
        <f t="shared" si="4"/>
        <v>-0.67038454447658502</v>
      </c>
      <c r="S11" s="16">
        <f t="shared" si="4"/>
        <v>-0.67038454447658502</v>
      </c>
      <c r="T11" s="17">
        <f t="shared" si="4"/>
        <v>-0.67038454447658502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17</v>
      </c>
      <c r="F14" s="10">
        <f t="shared" ref="F14:T14" si="5">ws_direct_ads_w_pT(F3,F4,$C$3,$C$4,$C$5,$C$7,$C$8,$C$9,$C$10,$C$11,$C$12)</f>
        <v>0.25315978599275041</v>
      </c>
      <c r="G14" s="10">
        <f t="shared" si="5"/>
        <v>0.25502551193504713</v>
      </c>
      <c r="H14" s="10">
        <f t="shared" si="5"/>
        <v>0.25634910572697622</v>
      </c>
      <c r="I14" s="10">
        <f t="shared" si="5"/>
        <v>0.23904799714270888</v>
      </c>
      <c r="J14" s="10">
        <f t="shared" si="5"/>
        <v>0.24221215106482077</v>
      </c>
      <c r="K14" s="10">
        <f t="shared" si="5"/>
        <v>0.24447177551727375</v>
      </c>
      <c r="L14" s="10">
        <f t="shared" si="5"/>
        <v>0.21931515782367914</v>
      </c>
      <c r="M14" s="10">
        <f t="shared" si="5"/>
        <v>0.22412121337776886</v>
      </c>
      <c r="N14" s="10">
        <f t="shared" si="5"/>
        <v>0.22758746114858042</v>
      </c>
      <c r="O14" s="10">
        <f t="shared" si="5"/>
        <v>0.19437794068836836</v>
      </c>
      <c r="P14" s="10">
        <f t="shared" si="5"/>
        <v>0.20094471793068133</v>
      </c>
      <c r="Q14" s="10">
        <f t="shared" si="5"/>
        <v>0.20574535053685009</v>
      </c>
      <c r="R14" s="10">
        <f t="shared" si="5"/>
        <v>0.16580744170594677</v>
      </c>
      <c r="S14" s="10">
        <f t="shared" si="5"/>
        <v>0.17391411274887839</v>
      </c>
      <c r="T14" s="11">
        <f t="shared" si="5"/>
        <v>0.17994289571820041</v>
      </c>
    </row>
    <row r="15" spans="2:20" x14ac:dyDescent="0.25">
      <c r="E15" s="19" t="s">
        <v>18</v>
      </c>
      <c r="F15" s="12">
        <f t="shared" ref="F15:T15" si="6">ws_direct_ads_p_wT(F14,F4,$C$3,$C$4,$C$5,$C$7,$C$8,$C$9,$C$10,$C$11,$C$12)</f>
        <v>1499.9999999999625</v>
      </c>
      <c r="G15" s="12">
        <f t="shared" si="6"/>
        <v>2000.0000000000107</v>
      </c>
      <c r="H15" s="12">
        <f t="shared" si="6"/>
        <v>2499.9999999999413</v>
      </c>
      <c r="I15" s="12">
        <f t="shared" si="6"/>
        <v>1499.9999999999861</v>
      </c>
      <c r="J15" s="12">
        <f t="shared" si="6"/>
        <v>1999.9999999999766</v>
      </c>
      <c r="K15" s="12">
        <f t="shared" si="6"/>
        <v>2499.99999999996</v>
      </c>
      <c r="L15" s="12">
        <f t="shared" si="6"/>
        <v>1499.9999999999973</v>
      </c>
      <c r="M15" s="12">
        <f t="shared" si="6"/>
        <v>1999.9999999999966</v>
      </c>
      <c r="N15" s="12">
        <f t="shared" si="6"/>
        <v>2499.9999999999677</v>
      </c>
      <c r="O15" s="12">
        <f t="shared" si="6"/>
        <v>1499.999999999993</v>
      </c>
      <c r="P15" s="12">
        <f t="shared" si="6"/>
        <v>1999.99999999999</v>
      </c>
      <c r="Q15" s="12">
        <f t="shared" si="6"/>
        <v>2500.000000000005</v>
      </c>
      <c r="R15" s="12">
        <f t="shared" si="6"/>
        <v>1500.0000000000025</v>
      </c>
      <c r="S15" s="12">
        <f t="shared" si="6"/>
        <v>1999.9999999999989</v>
      </c>
      <c r="T15" s="13">
        <f t="shared" si="6"/>
        <v>2500.0000000000014</v>
      </c>
    </row>
    <row r="16" spans="2:20" x14ac:dyDescent="0.25">
      <c r="E16" s="21" t="s">
        <v>19</v>
      </c>
      <c r="F16" s="22">
        <f t="shared" ref="F16:T16" si="7">ws_direct_ads_T_pw(F3,F14,$C$3,$C$4,$C$5,$C$7,$C$8,$C$9,$C$10,$C$11,$C$12)</f>
        <v>282.99999999999989</v>
      </c>
      <c r="G16" s="22">
        <f t="shared" si="7"/>
        <v>283.0000000000004</v>
      </c>
      <c r="H16" s="22">
        <f t="shared" si="7"/>
        <v>283.0000000000008</v>
      </c>
      <c r="I16" s="22">
        <f t="shared" si="7"/>
        <v>303.00000000000006</v>
      </c>
      <c r="J16" s="22">
        <f t="shared" si="7"/>
        <v>303.00000000000017</v>
      </c>
      <c r="K16" s="22">
        <f t="shared" si="7"/>
        <v>303.00000000000011</v>
      </c>
      <c r="L16" s="22">
        <f t="shared" si="7"/>
        <v>323</v>
      </c>
      <c r="M16" s="22">
        <f t="shared" si="7"/>
        <v>323</v>
      </c>
      <c r="N16" s="22">
        <f t="shared" si="7"/>
        <v>323.00000000000006</v>
      </c>
      <c r="O16" s="22">
        <f t="shared" si="7"/>
        <v>343.00000000000006</v>
      </c>
      <c r="P16" s="22">
        <f t="shared" si="7"/>
        <v>343.00000000000017</v>
      </c>
      <c r="Q16" s="22">
        <f t="shared" si="7"/>
        <v>343.00000000000011</v>
      </c>
      <c r="R16" s="22">
        <f t="shared" si="7"/>
        <v>363</v>
      </c>
      <c r="S16" s="22">
        <f t="shared" si="7"/>
        <v>363</v>
      </c>
      <c r="T16" s="23">
        <f t="shared" si="7"/>
        <v>363.00000000000006</v>
      </c>
    </row>
    <row r="17" spans="5:20" x14ac:dyDescent="0.25">
      <c r="E17" s="19" t="s">
        <v>20</v>
      </c>
      <c r="F17" s="14">
        <f t="shared" ref="F17:T17" si="8">ws_direct_ads_dw_dp_pT(F3,F4,$C$3,$C$4,$C$5,$C$7,$C$8,$C$9,$C$10,$C$11,$C$12)</f>
        <v>4.5427392407580375E-6</v>
      </c>
      <c r="G17" s="14">
        <f t="shared" si="8"/>
        <v>3.0831244539063755E-6</v>
      </c>
      <c r="H17" s="14">
        <f t="shared" si="8"/>
        <v>2.280946765097323E-6</v>
      </c>
      <c r="I17" s="14">
        <f t="shared" si="8"/>
        <v>7.6743152656539333E-6</v>
      </c>
      <c r="J17" s="14">
        <f t="shared" si="8"/>
        <v>5.2490754169159467E-6</v>
      </c>
      <c r="K17" s="14">
        <f t="shared" si="8"/>
        <v>3.9046606485532807E-6</v>
      </c>
      <c r="L17" s="14">
        <f t="shared" si="8"/>
        <v>1.1589183734762827E-5</v>
      </c>
      <c r="M17" s="14">
        <f t="shared" si="8"/>
        <v>8.0190115834196066E-6</v>
      </c>
      <c r="N17" s="14">
        <f t="shared" si="8"/>
        <v>6.014314736772601E-6</v>
      </c>
      <c r="O17" s="14">
        <f t="shared" si="8"/>
        <v>1.5709993262586442E-5</v>
      </c>
      <c r="P17" s="14">
        <f t="shared" si="8"/>
        <v>1.1043415364411668E-5</v>
      </c>
      <c r="Q17" s="14">
        <f t="shared" si="8"/>
        <v>8.3766496832857198E-6</v>
      </c>
      <c r="R17" s="14">
        <f t="shared" si="8"/>
        <v>1.9200762586845626E-5</v>
      </c>
      <c r="S17" s="14">
        <f t="shared" si="8"/>
        <v>1.3769042528844095E-5</v>
      </c>
      <c r="T17" s="15">
        <f t="shared" si="8"/>
        <v>1.0595290028404036E-5</v>
      </c>
    </row>
    <row r="18" spans="5:20" x14ac:dyDescent="0.25">
      <c r="E18" s="21" t="s">
        <v>23</v>
      </c>
      <c r="F18" s="22">
        <f t="shared" ref="F18:T18" si="9">ws_direct_ads_dw_dT_pT(F3,F4,$C$3,$C$4,$C$5,$C$7,$C$8,$C$9,$C$10,$C$11,$C$12)</f>
        <v>-5.7174748846178344E-4</v>
      </c>
      <c r="G18" s="22">
        <f t="shared" si="9"/>
        <v>-5.1714789674716223E-4</v>
      </c>
      <c r="H18" s="22">
        <f t="shared" si="9"/>
        <v>-4.7807092549849515E-4</v>
      </c>
      <c r="I18" s="22">
        <f t="shared" si="9"/>
        <v>-8.4479032871515535E-4</v>
      </c>
      <c r="J18" s="22">
        <f t="shared" si="9"/>
        <v>-7.7007406774943382E-4</v>
      </c>
      <c r="K18" s="22">
        <f t="shared" si="9"/>
        <v>-7.1579514713356258E-4</v>
      </c>
      <c r="L18" s="22">
        <f t="shared" si="9"/>
        <v>-1.1251664047678257E-3</v>
      </c>
      <c r="M18" s="22">
        <f t="shared" si="9"/>
        <v>-1.0375980538881832E-3</v>
      </c>
      <c r="N18" s="22">
        <f t="shared" si="9"/>
        <v>-9.7241831698731017E-4</v>
      </c>
      <c r="O18" s="22">
        <f t="shared" si="9"/>
        <v>-1.3551754829791416E-3</v>
      </c>
      <c r="P18" s="22">
        <f t="shared" si="9"/>
        <v>-1.2696160994527346E-3</v>
      </c>
      <c r="Q18" s="22">
        <f t="shared" si="9"/>
        <v>-1.2033769912571045E-3</v>
      </c>
      <c r="R18" s="22">
        <f t="shared" si="9"/>
        <v>-1.4812748250415449E-3</v>
      </c>
      <c r="S18" s="22">
        <f t="shared" si="9"/>
        <v>-1.4157175674031181E-3</v>
      </c>
      <c r="T18" s="23">
        <f t="shared" si="9"/>
        <v>-1.3612960165778939E-3</v>
      </c>
    </row>
    <row r="19" spans="5:20" x14ac:dyDescent="0.25">
      <c r="E19" s="19" t="s">
        <v>22</v>
      </c>
      <c r="F19" s="12">
        <f>ws_direct_ads_dp_dw_wT(F14,F4,$C$3,$C$4,$C$5,$C$7,$C$8,$C$9,$C$10,$C$11,$C$12)</f>
        <v>220131.49930065052</v>
      </c>
      <c r="G19" s="12">
        <f t="shared" ref="G19:T19" si="10">ws_direct_ads_dp_dw_wT(G14,G4,$C$3,$C$4,$C$5,$C$7,$C$8,$C$9,$C$10,$C$11,$C$12)</f>
        <v>324346.29706011008</v>
      </c>
      <c r="H19" s="12">
        <f t="shared" si="10"/>
        <v>438414.44057432865</v>
      </c>
      <c r="I19" s="12">
        <f t="shared" si="10"/>
        <v>130304.78490705798</v>
      </c>
      <c r="J19" s="12">
        <f t="shared" si="10"/>
        <v>190509.74134936818</v>
      </c>
      <c r="K19" s="12">
        <f t="shared" si="10"/>
        <v>256104.20213354239</v>
      </c>
      <c r="L19" s="12">
        <f t="shared" si="10"/>
        <v>86287.354043788699</v>
      </c>
      <c r="M19" s="12">
        <f t="shared" si="10"/>
        <v>124703.64827351451</v>
      </c>
      <c r="N19" s="12">
        <f t="shared" si="10"/>
        <v>166269.98149694467</v>
      </c>
      <c r="O19" s="12">
        <f t="shared" si="10"/>
        <v>63653.751041479234</v>
      </c>
      <c r="P19" s="12">
        <f t="shared" si="10"/>
        <v>90551.696825836756</v>
      </c>
      <c r="Q19" s="12">
        <f t="shared" si="10"/>
        <v>119379.47005177314</v>
      </c>
      <c r="R19" s="12">
        <f t="shared" si="10"/>
        <v>52081.264766280612</v>
      </c>
      <c r="S19" s="12">
        <f t="shared" si="10"/>
        <v>72626.691210020435</v>
      </c>
      <c r="T19" s="13">
        <f t="shared" si="10"/>
        <v>94381.559855292595</v>
      </c>
    </row>
    <row r="20" spans="5:20" ht="15.75" thickBot="1" x14ac:dyDescent="0.3">
      <c r="E20" s="20" t="s">
        <v>21</v>
      </c>
      <c r="F20" s="16">
        <f>ws_direct_ads_dp_dT_wT(F14,F4,$C$3,$C$4,$C$5,$C$7,$C$8,$C$9,$C$10,$C$11,$C$12)</f>
        <v>125.85963185647564</v>
      </c>
      <c r="G20" s="16">
        <f t="shared" ref="G20:T20" si="11">ws_direct_ads_dp_dT_wT(G14,G4,$C$3,$C$4,$C$5,$C$7,$C$8,$C$9,$C$10,$C$11,$C$12)</f>
        <v>167.735005342367</v>
      </c>
      <c r="H20" s="16">
        <f t="shared" si="11"/>
        <v>209.59319735727533</v>
      </c>
      <c r="I20" s="16">
        <f t="shared" si="11"/>
        <v>110.08022207479095</v>
      </c>
      <c r="J20" s="16">
        <f t="shared" si="11"/>
        <v>146.70661146680118</v>
      </c>
      <c r="K20" s="16">
        <f t="shared" si="11"/>
        <v>183.31814504770307</v>
      </c>
      <c r="L20" s="16">
        <f t="shared" si="11"/>
        <v>97.087631926378606</v>
      </c>
      <c r="M20" s="16">
        <f t="shared" si="11"/>
        <v>129.39226276135543</v>
      </c>
      <c r="N20" s="16">
        <f t="shared" si="11"/>
        <v>161.68397557277081</v>
      </c>
      <c r="O20" s="16">
        <f t="shared" si="11"/>
        <v>86.262002811070943</v>
      </c>
      <c r="P20" s="16">
        <f t="shared" si="11"/>
        <v>114.96589212284542</v>
      </c>
      <c r="Q20" s="16">
        <f t="shared" si="11"/>
        <v>143.65850748877062</v>
      </c>
      <c r="R20" s="16">
        <f t="shared" si="11"/>
        <v>77.146666354614595</v>
      </c>
      <c r="S20" s="16">
        <f t="shared" si="11"/>
        <v>102.81888260838753</v>
      </c>
      <c r="T20" s="17">
        <f t="shared" si="11"/>
        <v>128.48124146941805</v>
      </c>
    </row>
    <row r="21" spans="5:20" ht="15.75" thickBot="1" x14ac:dyDescent="0.3"/>
    <row r="22" spans="5:20" ht="15.75" thickBot="1" x14ac:dyDescent="0.3">
      <c r="E22" s="36" t="s">
        <v>32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8"/>
    </row>
    <row r="23" spans="5:20" x14ac:dyDescent="0.25">
      <c r="E23" s="18" t="s">
        <v>17</v>
      </c>
      <c r="F23" s="10">
        <f>ws_direct_ads_sur_w_pT(F3,F4,$C$3,$C$4,$C$5,$C$7,$C$8,$C$9,$C$10,$C$11,$C$12)</f>
        <v>0.25315978599275041</v>
      </c>
      <c r="G23" s="10">
        <f t="shared" ref="G23:T23" si="12">ws_direct_ads_sur_w_pT(G3,G4,$C$3,$C$4,$C$5,$C$7,$C$8,$C$9,$C$10,$C$11,$C$12)</f>
        <v>0.25502551193504713</v>
      </c>
      <c r="H23" s="10">
        <f t="shared" si="12"/>
        <v>0.25634910572697622</v>
      </c>
      <c r="I23" s="10">
        <f t="shared" si="12"/>
        <v>0.23904799714270888</v>
      </c>
      <c r="J23" s="10">
        <f t="shared" si="12"/>
        <v>0.24221215106482077</v>
      </c>
      <c r="K23" s="10">
        <f t="shared" si="12"/>
        <v>0.24447177551727375</v>
      </c>
      <c r="L23" s="10">
        <f t="shared" si="12"/>
        <v>0.21931515782367914</v>
      </c>
      <c r="M23" s="10">
        <f t="shared" si="12"/>
        <v>0.22412121337776886</v>
      </c>
      <c r="N23" s="10">
        <f t="shared" si="12"/>
        <v>0.22758746114858042</v>
      </c>
      <c r="O23" s="10">
        <f t="shared" si="12"/>
        <v>0.19437794068836836</v>
      </c>
      <c r="P23" s="10">
        <f t="shared" si="12"/>
        <v>0.20094471793068133</v>
      </c>
      <c r="Q23" s="10">
        <f t="shared" si="12"/>
        <v>0.20574535053685009</v>
      </c>
      <c r="R23" s="10">
        <f t="shared" si="12"/>
        <v>0.16580744170594677</v>
      </c>
      <c r="S23" s="10">
        <f t="shared" si="12"/>
        <v>0.17391411274887839</v>
      </c>
      <c r="T23" s="11">
        <f t="shared" si="12"/>
        <v>0.17994289571820041</v>
      </c>
    </row>
    <row r="24" spans="5:20" x14ac:dyDescent="0.25">
      <c r="E24" s="19" t="s">
        <v>18</v>
      </c>
      <c r="F24" s="12">
        <f>ws_direct_ads_sur_p_wT(F23,F4,$C$3,$C$4,$C$5,$C$7,$C$8,$C$9,$C$10,$C$11,$C$12)</f>
        <v>1499.9999999999625</v>
      </c>
      <c r="G24" s="12">
        <f t="shared" ref="G24:T24" si="13">ws_direct_ads_sur_p_wT(G23,G4,$C$3,$C$4,$C$5,$C$7,$C$8,$C$9,$C$10,$C$11,$C$12)</f>
        <v>2000.0000000000107</v>
      </c>
      <c r="H24" s="12">
        <f t="shared" si="13"/>
        <v>2499.9999999999413</v>
      </c>
      <c r="I24" s="12">
        <f t="shared" si="13"/>
        <v>1499.9999999999861</v>
      </c>
      <c r="J24" s="12">
        <f t="shared" si="13"/>
        <v>1999.9999999999766</v>
      </c>
      <c r="K24" s="12">
        <f t="shared" si="13"/>
        <v>2499.99999999996</v>
      </c>
      <c r="L24" s="12">
        <f t="shared" si="13"/>
        <v>1499.9999999999973</v>
      </c>
      <c r="M24" s="12">
        <f t="shared" si="13"/>
        <v>1999.9999999999966</v>
      </c>
      <c r="N24" s="12">
        <f t="shared" si="13"/>
        <v>2499.9999999999677</v>
      </c>
      <c r="O24" s="12">
        <f t="shared" si="13"/>
        <v>1499.999999999993</v>
      </c>
      <c r="P24" s="12">
        <f t="shared" si="13"/>
        <v>1999.99999999999</v>
      </c>
      <c r="Q24" s="12">
        <f t="shared" si="13"/>
        <v>2500.000000000005</v>
      </c>
      <c r="R24" s="12">
        <f t="shared" si="13"/>
        <v>1500.0000000000025</v>
      </c>
      <c r="S24" s="12">
        <f t="shared" si="13"/>
        <v>1999.9999999999989</v>
      </c>
      <c r="T24" s="13">
        <f t="shared" si="13"/>
        <v>2500.0000000000014</v>
      </c>
    </row>
    <row r="25" spans="5:20" x14ac:dyDescent="0.25">
      <c r="E25" s="21" t="s">
        <v>19</v>
      </c>
      <c r="F25" s="22">
        <f>ws_direct_ads_sur_T_pw(F3,F23,$C$3,$C$4,$C$5,$C$7,$C$8,$C$9,$C$10,$C$11,$C$12)</f>
        <v>282.99999999999989</v>
      </c>
      <c r="G25" s="22">
        <f t="shared" ref="G25:T25" si="14">ws_direct_ads_sur_T_pw(G3,G23,$C$3,$C$4,$C$5,$C$7,$C$8,$C$9,$C$10,$C$11,$C$12)</f>
        <v>283.0000000000004</v>
      </c>
      <c r="H25" s="22">
        <f t="shared" si="14"/>
        <v>283.0000000000008</v>
      </c>
      <c r="I25" s="22">
        <f t="shared" si="14"/>
        <v>303.00000000000006</v>
      </c>
      <c r="J25" s="22">
        <f t="shared" si="14"/>
        <v>303.00000000000017</v>
      </c>
      <c r="K25" s="22">
        <f t="shared" si="14"/>
        <v>303.00000000000011</v>
      </c>
      <c r="L25" s="22">
        <f t="shared" si="14"/>
        <v>323</v>
      </c>
      <c r="M25" s="22">
        <f t="shared" si="14"/>
        <v>323</v>
      </c>
      <c r="N25" s="22">
        <f t="shared" si="14"/>
        <v>323.00000000000006</v>
      </c>
      <c r="O25" s="22">
        <f t="shared" si="14"/>
        <v>343.00000000000006</v>
      </c>
      <c r="P25" s="22">
        <f t="shared" si="14"/>
        <v>343.00000000000017</v>
      </c>
      <c r="Q25" s="22">
        <f t="shared" si="14"/>
        <v>343.00000000000011</v>
      </c>
      <c r="R25" s="22">
        <f t="shared" si="14"/>
        <v>363</v>
      </c>
      <c r="S25" s="22">
        <f t="shared" si="14"/>
        <v>363</v>
      </c>
      <c r="T25" s="23">
        <f t="shared" si="14"/>
        <v>363.00000000000006</v>
      </c>
    </row>
    <row r="26" spans="5:20" x14ac:dyDescent="0.25">
      <c r="E26" s="19" t="s">
        <v>20</v>
      </c>
      <c r="F26" s="14">
        <f>ws_direct_ads_sur_dw_dp_pT(F3,F4,$C$3,$C$4,$C$5,$C$7,$C$8,$C$9,$C$10,$C$11,$C$12)</f>
        <v>4.5427392407580375E-6</v>
      </c>
      <c r="G26" s="14">
        <f t="shared" ref="G26:T26" si="15">ws_direct_ads_sur_dw_dp_pT(G3,G4,$C$3,$C$4,$C$5,$C$7,$C$8,$C$9,$C$10,$C$11,$C$12)</f>
        <v>3.0831244539063755E-6</v>
      </c>
      <c r="H26" s="14">
        <f t="shared" si="15"/>
        <v>2.280946765097323E-6</v>
      </c>
      <c r="I26" s="14">
        <f t="shared" si="15"/>
        <v>7.6743152656539333E-6</v>
      </c>
      <c r="J26" s="14">
        <f t="shared" si="15"/>
        <v>5.2490754169159467E-6</v>
      </c>
      <c r="K26" s="14">
        <f t="shared" si="15"/>
        <v>3.9046606485532807E-6</v>
      </c>
      <c r="L26" s="14">
        <f t="shared" si="15"/>
        <v>1.1589183734762827E-5</v>
      </c>
      <c r="M26" s="14">
        <f t="shared" si="15"/>
        <v>8.0190115834196066E-6</v>
      </c>
      <c r="N26" s="14">
        <f t="shared" si="15"/>
        <v>6.014314736772601E-6</v>
      </c>
      <c r="O26" s="14">
        <f t="shared" si="15"/>
        <v>1.5709993262586442E-5</v>
      </c>
      <c r="P26" s="14">
        <f t="shared" si="15"/>
        <v>1.1043415364411668E-5</v>
      </c>
      <c r="Q26" s="14">
        <f t="shared" si="15"/>
        <v>8.3766496832857198E-6</v>
      </c>
      <c r="R26" s="14">
        <f t="shared" si="15"/>
        <v>1.9200762586845626E-5</v>
      </c>
      <c r="S26" s="14">
        <f t="shared" si="15"/>
        <v>1.3769042528844095E-5</v>
      </c>
      <c r="T26" s="15">
        <f t="shared" si="15"/>
        <v>1.0595290028404036E-5</v>
      </c>
    </row>
    <row r="27" spans="5:20" x14ac:dyDescent="0.25">
      <c r="E27" s="21" t="s">
        <v>23</v>
      </c>
      <c r="F27" s="22">
        <f>ws_direct_ads_sur_dw_dT_pT(F3,F4,$C$3,$C$4,$C$5,$C$7,$C$8,$C$9,$C$10,$C$11,$C$12)</f>
        <v>-5.7174748846178344E-4</v>
      </c>
      <c r="G27" s="22">
        <f t="shared" ref="G27:T27" si="16">ws_direct_ads_sur_dw_dT_pT(G3,G4,$C$3,$C$4,$C$5,$C$7,$C$8,$C$9,$C$10,$C$11,$C$12)</f>
        <v>-5.1714789674716223E-4</v>
      </c>
      <c r="H27" s="22">
        <f t="shared" si="16"/>
        <v>-4.7807092549849515E-4</v>
      </c>
      <c r="I27" s="22">
        <f t="shared" si="16"/>
        <v>-8.4479032871515535E-4</v>
      </c>
      <c r="J27" s="22">
        <f t="shared" si="16"/>
        <v>-7.7007406774943382E-4</v>
      </c>
      <c r="K27" s="22">
        <f t="shared" si="16"/>
        <v>-7.1579514713356258E-4</v>
      </c>
      <c r="L27" s="22">
        <f t="shared" si="16"/>
        <v>-1.1251664047678257E-3</v>
      </c>
      <c r="M27" s="22">
        <f t="shared" si="16"/>
        <v>-1.0375980538881832E-3</v>
      </c>
      <c r="N27" s="22">
        <f t="shared" si="16"/>
        <v>-9.7241831698731017E-4</v>
      </c>
      <c r="O27" s="22">
        <f t="shared" si="16"/>
        <v>-1.3551754829791416E-3</v>
      </c>
      <c r="P27" s="22">
        <f t="shared" si="16"/>
        <v>-1.2696160994527346E-3</v>
      </c>
      <c r="Q27" s="22">
        <f t="shared" si="16"/>
        <v>-1.2033769912571045E-3</v>
      </c>
      <c r="R27" s="22">
        <f t="shared" si="16"/>
        <v>-1.4812748250415449E-3</v>
      </c>
      <c r="S27" s="22">
        <f t="shared" si="16"/>
        <v>-1.4157175674031181E-3</v>
      </c>
      <c r="T27" s="23">
        <f t="shared" si="16"/>
        <v>-1.3612960165778939E-3</v>
      </c>
    </row>
    <row r="28" spans="5:20" x14ac:dyDescent="0.25">
      <c r="E28" s="19" t="s">
        <v>22</v>
      </c>
      <c r="F28" s="12">
        <f>ws_direct_ads_sur_dp_dw_wT(F23,F4,$C$3,$C$4,$C$5,$C$7,$C$8,$C$9,$C$10,$C$11,$C$12)</f>
        <v>220131.49930065052</v>
      </c>
      <c r="G28" s="12">
        <f t="shared" ref="G28:T28" si="17">ws_direct_ads_sur_dp_dw_wT(G23,G4,$C$3,$C$4,$C$5,$C$7,$C$8,$C$9,$C$10,$C$11,$C$12)</f>
        <v>324346.29706011008</v>
      </c>
      <c r="H28" s="12">
        <f t="shared" si="17"/>
        <v>438414.44057432865</v>
      </c>
      <c r="I28" s="12">
        <f t="shared" si="17"/>
        <v>130304.78490705798</v>
      </c>
      <c r="J28" s="12">
        <f t="shared" si="17"/>
        <v>190509.74134936818</v>
      </c>
      <c r="K28" s="12">
        <f t="shared" si="17"/>
        <v>256104.20213354239</v>
      </c>
      <c r="L28" s="12">
        <f t="shared" si="17"/>
        <v>86287.354043788699</v>
      </c>
      <c r="M28" s="12">
        <f t="shared" si="17"/>
        <v>124703.64827351451</v>
      </c>
      <c r="N28" s="12">
        <f t="shared" si="17"/>
        <v>166269.98149694467</v>
      </c>
      <c r="O28" s="12">
        <f t="shared" si="17"/>
        <v>63653.751041479234</v>
      </c>
      <c r="P28" s="12">
        <f t="shared" si="17"/>
        <v>90551.696825836756</v>
      </c>
      <c r="Q28" s="12">
        <f t="shared" si="17"/>
        <v>119379.47005177314</v>
      </c>
      <c r="R28" s="12">
        <f t="shared" si="17"/>
        <v>52081.264766280612</v>
      </c>
      <c r="S28" s="12">
        <f t="shared" si="17"/>
        <v>72626.691210020435</v>
      </c>
      <c r="T28" s="13">
        <f t="shared" si="17"/>
        <v>94381.559855292595</v>
      </c>
    </row>
    <row r="29" spans="5:20" ht="15.75" thickBot="1" x14ac:dyDescent="0.3">
      <c r="E29" s="20" t="s">
        <v>21</v>
      </c>
      <c r="F29" s="16">
        <f>ws_direct_ads_sur_dp_dT_wT(F23,F4,$C$3,$C$4,$C$5,$C$7,$C$8,$C$9,$C$10,$C$11,$C$12)</f>
        <v>125.85963185647564</v>
      </c>
      <c r="G29" s="16">
        <f t="shared" ref="G29:T29" si="18">ws_direct_ads_sur_dp_dT_wT(G23,G4,$C$3,$C$4,$C$5,$C$7,$C$8,$C$9,$C$10,$C$11,$C$12)</f>
        <v>167.735005342367</v>
      </c>
      <c r="H29" s="16">
        <f t="shared" si="18"/>
        <v>209.59319735727533</v>
      </c>
      <c r="I29" s="16">
        <f t="shared" si="18"/>
        <v>110.08022207479095</v>
      </c>
      <c r="J29" s="16">
        <f t="shared" si="18"/>
        <v>146.70661146680118</v>
      </c>
      <c r="K29" s="16">
        <f t="shared" si="18"/>
        <v>183.31814504770307</v>
      </c>
      <c r="L29" s="16">
        <f t="shared" si="18"/>
        <v>97.087631926378606</v>
      </c>
      <c r="M29" s="16">
        <f t="shared" si="18"/>
        <v>129.39226276135543</v>
      </c>
      <c r="N29" s="16">
        <f t="shared" si="18"/>
        <v>161.68397557277081</v>
      </c>
      <c r="O29" s="16">
        <f t="shared" si="18"/>
        <v>86.262002811070943</v>
      </c>
      <c r="P29" s="16">
        <f t="shared" si="18"/>
        <v>114.96589212284542</v>
      </c>
      <c r="Q29" s="16">
        <f t="shared" si="18"/>
        <v>143.65850748877062</v>
      </c>
      <c r="R29" s="16">
        <f t="shared" si="18"/>
        <v>77.146666354614595</v>
      </c>
      <c r="S29" s="16">
        <f t="shared" si="18"/>
        <v>102.81888260838753</v>
      </c>
      <c r="T29" s="17">
        <f t="shared" si="18"/>
        <v>128.48124146941805</v>
      </c>
    </row>
  </sheetData>
  <mergeCells count="5">
    <mergeCell ref="B2:C2"/>
    <mergeCell ref="E2:T2"/>
    <mergeCell ref="E6:T6"/>
    <mergeCell ref="E13:T13"/>
    <mergeCell ref="E22:T2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1:T29"/>
  <sheetViews>
    <sheetView zoomScale="85" zoomScaleNormal="85" workbookViewId="0">
      <selection activeCell="F28" sqref="F28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37.5703125" customWidth="1"/>
    <col min="6" max="14" width="12.85546875" bestFit="1" customWidth="1"/>
    <col min="15" max="15" width="11.85546875" bestFit="1" customWidth="1"/>
    <col min="16" max="16" width="12.85546875" bestFit="1" customWidth="1"/>
    <col min="17" max="17" width="10.85546875" bestFit="1" customWidth="1"/>
    <col min="18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4</v>
      </c>
      <c r="E3" s="3" t="s">
        <v>7</v>
      </c>
      <c r="F3" s="6">
        <v>1500</v>
      </c>
      <c r="G3" s="6">
        <v>2000</v>
      </c>
      <c r="H3" s="6">
        <v>2500</v>
      </c>
      <c r="I3" s="6">
        <v>1500</v>
      </c>
      <c r="J3" s="6">
        <v>2000</v>
      </c>
      <c r="K3" s="6">
        <v>2500</v>
      </c>
      <c r="L3" s="6">
        <v>1500</v>
      </c>
      <c r="M3" s="6">
        <v>2000</v>
      </c>
      <c r="N3" s="6">
        <v>2500</v>
      </c>
      <c r="O3" s="6">
        <v>1500</v>
      </c>
      <c r="P3" s="6">
        <v>2000</v>
      </c>
      <c r="Q3" s="6">
        <v>2500</v>
      </c>
      <c r="R3" s="6">
        <v>1500</v>
      </c>
      <c r="S3" s="6">
        <v>2000</v>
      </c>
      <c r="T3" s="7">
        <v>2500</v>
      </c>
    </row>
    <row r="4" spans="2:20" ht="15.75" thickBot="1" x14ac:dyDescent="0.3">
      <c r="B4" s="4" t="s">
        <v>10</v>
      </c>
      <c r="C4" s="1" t="s">
        <v>33</v>
      </c>
      <c r="E4" s="5" t="s">
        <v>8</v>
      </c>
      <c r="F4" s="8">
        <v>283</v>
      </c>
      <c r="G4" s="8">
        <v>283</v>
      </c>
      <c r="H4" s="8">
        <v>283</v>
      </c>
      <c r="I4" s="8">
        <v>303</v>
      </c>
      <c r="J4" s="8">
        <v>303</v>
      </c>
      <c r="K4" s="8">
        <v>303</v>
      </c>
      <c r="L4" s="8">
        <v>323</v>
      </c>
      <c r="M4" s="8">
        <v>323</v>
      </c>
      <c r="N4" s="8">
        <v>323</v>
      </c>
      <c r="O4" s="8">
        <v>343</v>
      </c>
      <c r="P4" s="8">
        <v>343</v>
      </c>
      <c r="Q4" s="8">
        <v>343</v>
      </c>
      <c r="R4" s="8">
        <v>363</v>
      </c>
      <c r="S4" s="8">
        <v>363</v>
      </c>
      <c r="T4" s="9">
        <v>363</v>
      </c>
    </row>
    <row r="5" spans="2:20" ht="15.75" thickBot="1" x14ac:dyDescent="0.3">
      <c r="B5" s="4" t="s">
        <v>11</v>
      </c>
      <c r="C5" s="1" t="s">
        <v>3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34</v>
      </c>
      <c r="E7" s="18" t="s">
        <v>24</v>
      </c>
      <c r="F7" s="24">
        <f>ws_direct_ref_p_sat_T(F4,$C$3,$C$4,$C$5,$C$7,$C$8,$C$9,$C$10,$C$11,$C$12)</f>
        <v>1215.8227747140943</v>
      </c>
      <c r="G7" s="24">
        <f t="shared" ref="G7:T7" si="0">ws_direct_ref_p_sat_T(G4,$C$3,$C$4,$C$5,$C$7,$C$8,$C$9,$C$10,$C$11,$C$12)</f>
        <v>1215.8227747140943</v>
      </c>
      <c r="H7" s="24">
        <f t="shared" si="0"/>
        <v>1215.8227747140943</v>
      </c>
      <c r="I7" s="24">
        <f t="shared" si="0"/>
        <v>4210.4855765112125</v>
      </c>
      <c r="J7" s="24">
        <f t="shared" si="0"/>
        <v>4210.4855765112125</v>
      </c>
      <c r="K7" s="24">
        <f t="shared" si="0"/>
        <v>4210.4855765112125</v>
      </c>
      <c r="L7" s="24">
        <f t="shared" si="0"/>
        <v>12260.826272925424</v>
      </c>
      <c r="M7" s="24">
        <f t="shared" si="0"/>
        <v>12260.826272925424</v>
      </c>
      <c r="N7" s="24">
        <f t="shared" si="0"/>
        <v>12260.826272925424</v>
      </c>
      <c r="O7" s="24">
        <f t="shared" si="0"/>
        <v>31000.342915261295</v>
      </c>
      <c r="P7" s="24">
        <f t="shared" si="0"/>
        <v>31000.342915261295</v>
      </c>
      <c r="Q7" s="24">
        <f t="shared" si="0"/>
        <v>31000.342915261295</v>
      </c>
      <c r="R7" s="24">
        <f t="shared" si="0"/>
        <v>69783.814092772038</v>
      </c>
      <c r="S7" s="24">
        <f t="shared" si="0"/>
        <v>69783.814092772038</v>
      </c>
      <c r="T7" s="25">
        <f t="shared" si="0"/>
        <v>69783.814092772038</v>
      </c>
    </row>
    <row r="8" spans="2:20" x14ac:dyDescent="0.25">
      <c r="B8" s="4" t="s">
        <v>6</v>
      </c>
      <c r="C8" s="1">
        <v>2</v>
      </c>
      <c r="E8" s="19" t="s">
        <v>25</v>
      </c>
      <c r="F8" s="26">
        <f>ws_direct_ref_rho_l_T(F4,$C$3,$C$4,$C$5,$C$7,$C$8,$C$9,$C$10,$C$11,$C$12)</f>
        <v>999.66457580337305</v>
      </c>
      <c r="G8" s="26">
        <f t="shared" ref="G8:T8" si="1">ws_direct_ref_rho_l_T(G4,$C$3,$C$4,$C$5,$C$7,$C$8,$C$9,$C$10,$C$11,$C$12)</f>
        <v>999.66457580337305</v>
      </c>
      <c r="H8" s="26">
        <f t="shared" si="1"/>
        <v>999.66457580337305</v>
      </c>
      <c r="I8" s="26">
        <f t="shared" si="1"/>
        <v>995.64718834261362</v>
      </c>
      <c r="J8" s="26">
        <f t="shared" si="1"/>
        <v>995.64718834261362</v>
      </c>
      <c r="K8" s="26">
        <f t="shared" si="1"/>
        <v>995.64718834261362</v>
      </c>
      <c r="L8" s="26">
        <f t="shared" si="1"/>
        <v>988.05858998506767</v>
      </c>
      <c r="M8" s="26">
        <f t="shared" si="1"/>
        <v>988.05858998506767</v>
      </c>
      <c r="N8" s="26">
        <f t="shared" si="1"/>
        <v>988.05858998506767</v>
      </c>
      <c r="O8" s="26">
        <f t="shared" si="1"/>
        <v>977.81310224425124</v>
      </c>
      <c r="P8" s="26">
        <f t="shared" si="1"/>
        <v>977.81310224425124</v>
      </c>
      <c r="Q8" s="26">
        <f t="shared" si="1"/>
        <v>977.81310224425124</v>
      </c>
      <c r="R8" s="26">
        <f t="shared" si="1"/>
        <v>965.39191820098574</v>
      </c>
      <c r="S8" s="26">
        <f t="shared" si="1"/>
        <v>965.39191820098574</v>
      </c>
      <c r="T8" s="27">
        <f t="shared" si="1"/>
        <v>965.39191820098574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283</v>
      </c>
      <c r="G9" s="28">
        <f t="shared" ref="G9:T9" si="2">ws_direct_ref_T_sat_p(G7,$C$3,$C$4,$C$5,$C$7,$C$8,$C$9,$C$10,$C$11,$C$12)</f>
        <v>283</v>
      </c>
      <c r="H9" s="28">
        <f t="shared" si="2"/>
        <v>283</v>
      </c>
      <c r="I9" s="28">
        <f t="shared" si="2"/>
        <v>303</v>
      </c>
      <c r="J9" s="28">
        <f t="shared" si="2"/>
        <v>303</v>
      </c>
      <c r="K9" s="28">
        <f t="shared" si="2"/>
        <v>303</v>
      </c>
      <c r="L9" s="28">
        <f t="shared" si="2"/>
        <v>322.99999999999989</v>
      </c>
      <c r="M9" s="28">
        <f t="shared" si="2"/>
        <v>322.99999999999989</v>
      </c>
      <c r="N9" s="28">
        <f t="shared" si="2"/>
        <v>322.99999999999989</v>
      </c>
      <c r="O9" s="28">
        <f t="shared" si="2"/>
        <v>343</v>
      </c>
      <c r="P9" s="28">
        <f t="shared" si="2"/>
        <v>343</v>
      </c>
      <c r="Q9" s="28">
        <f t="shared" si="2"/>
        <v>343</v>
      </c>
      <c r="R9" s="28">
        <f t="shared" si="2"/>
        <v>363</v>
      </c>
      <c r="S9" s="28">
        <f t="shared" si="2"/>
        <v>363</v>
      </c>
      <c r="T9" s="29">
        <f t="shared" si="2"/>
        <v>363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81.566619067642264</v>
      </c>
      <c r="G10" s="26">
        <f t="shared" ref="G10:T10" si="3">ws_direct_ref_dp_sat_dT_T(G4,$C$3,$C$4,$C$5,$C$7,$C$8,$C$9,$C$10,$C$11,$C$12)</f>
        <v>81.566619067642264</v>
      </c>
      <c r="H10" s="26">
        <f t="shared" si="3"/>
        <v>81.566619067642264</v>
      </c>
      <c r="I10" s="26">
        <f t="shared" si="3"/>
        <v>241.98691860189211</v>
      </c>
      <c r="J10" s="26">
        <f t="shared" si="3"/>
        <v>241.98691860189211</v>
      </c>
      <c r="K10" s="26">
        <f t="shared" si="3"/>
        <v>241.98691860189211</v>
      </c>
      <c r="L10" s="26">
        <f t="shared" si="3"/>
        <v>609.06809861274974</v>
      </c>
      <c r="M10" s="26">
        <f t="shared" si="3"/>
        <v>609.06809861274974</v>
      </c>
      <c r="N10" s="26">
        <f t="shared" si="3"/>
        <v>609.06809861274974</v>
      </c>
      <c r="O10" s="26">
        <f t="shared" si="3"/>
        <v>1342.014303920361</v>
      </c>
      <c r="P10" s="26">
        <f t="shared" si="3"/>
        <v>1342.014303920361</v>
      </c>
      <c r="Q10" s="26">
        <f t="shared" si="3"/>
        <v>1342.014303920361</v>
      </c>
      <c r="R10" s="26">
        <f t="shared" si="3"/>
        <v>2652.7755237052747</v>
      </c>
      <c r="S10" s="26">
        <f t="shared" si="3"/>
        <v>2652.7755237052747</v>
      </c>
      <c r="T10" s="27">
        <f t="shared" si="3"/>
        <v>2652.7755237052747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-8.5674108759820233E-2</v>
      </c>
      <c r="G11" s="16">
        <f t="shared" ref="G11:T11" si="4">ws_direct_ref_drho_l_dT_T(G4,$C$3,$C$4,$C$5,$C$7,$C$8,$C$9,$C$10,$C$11,$C$12)</f>
        <v>-8.5674108759820233E-2</v>
      </c>
      <c r="H11" s="16">
        <f t="shared" si="4"/>
        <v>-8.5674108759820233E-2</v>
      </c>
      <c r="I11" s="16">
        <f t="shared" si="4"/>
        <v>-0.30058839572636342</v>
      </c>
      <c r="J11" s="16">
        <f t="shared" si="4"/>
        <v>-0.30058839572636342</v>
      </c>
      <c r="K11" s="16">
        <f t="shared" si="4"/>
        <v>-0.30058839572636342</v>
      </c>
      <c r="L11" s="16">
        <f t="shared" si="4"/>
        <v>-0.45111370612482282</v>
      </c>
      <c r="M11" s="16">
        <f t="shared" si="4"/>
        <v>-0.45111370612482282</v>
      </c>
      <c r="N11" s="16">
        <f t="shared" si="4"/>
        <v>-0.45111370612482282</v>
      </c>
      <c r="O11" s="16">
        <f t="shared" si="4"/>
        <v>-0.56957724779885011</v>
      </c>
      <c r="P11" s="16">
        <f t="shared" si="4"/>
        <v>-0.56957724779885011</v>
      </c>
      <c r="Q11" s="16">
        <f t="shared" si="4"/>
        <v>-0.56957724779885011</v>
      </c>
      <c r="R11" s="16">
        <f t="shared" si="4"/>
        <v>-0.67038454447658502</v>
      </c>
      <c r="S11" s="16">
        <f t="shared" si="4"/>
        <v>-0.67038454447658502</v>
      </c>
      <c r="T11" s="17">
        <f t="shared" si="4"/>
        <v>-0.67038454447658502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17</v>
      </c>
      <c r="F14" s="10">
        <f t="shared" ref="F14:T14" si="5">ws_direct_ads_w_pT(F3,F4,$C$3,$C$4,$C$5,$C$7,$C$8,$C$9,$C$10,$C$11,$C$12)</f>
        <v>0.59522836442833382</v>
      </c>
      <c r="G14" s="10">
        <f t="shared" si="5"/>
        <v>0.71247614647820789</v>
      </c>
      <c r="H14" s="10">
        <f t="shared" si="5"/>
        <v>0.81910407585594436</v>
      </c>
      <c r="I14" s="10">
        <f t="shared" si="5"/>
        <v>0.27385452726927251</v>
      </c>
      <c r="J14" s="10">
        <f t="shared" si="5"/>
        <v>0.32779825348513719</v>
      </c>
      <c r="K14" s="10">
        <f t="shared" si="5"/>
        <v>0.37685596467382693</v>
      </c>
      <c r="L14" s="10">
        <f t="shared" si="5"/>
        <v>0.14041150784008971</v>
      </c>
      <c r="M14" s="10">
        <f t="shared" si="5"/>
        <v>0.16806969560864518</v>
      </c>
      <c r="N14" s="10">
        <f t="shared" si="5"/>
        <v>0.19322271121833259</v>
      </c>
      <c r="O14" s="10">
        <f t="shared" si="5"/>
        <v>7.8636373854185884E-2</v>
      </c>
      <c r="P14" s="10">
        <f t="shared" si="5"/>
        <v>9.4126126987343406E-2</v>
      </c>
      <c r="Q14" s="10">
        <f t="shared" si="5"/>
        <v>0.10821287792015274</v>
      </c>
      <c r="R14" s="10">
        <f t="shared" si="5"/>
        <v>4.7356636692440272E-2</v>
      </c>
      <c r="S14" s="10">
        <f t="shared" si="5"/>
        <v>5.6684923026481114E-2</v>
      </c>
      <c r="T14" s="11">
        <f t="shared" si="5"/>
        <v>6.5168289100035595E-2</v>
      </c>
    </row>
    <row r="15" spans="2:20" x14ac:dyDescent="0.25">
      <c r="E15" s="19" t="s">
        <v>18</v>
      </c>
      <c r="F15" s="12">
        <f t="shared" ref="F15:T15" si="6">ws_direct_ads_p_wT(F14,F4,$C$3,$C$4,$C$5,$C$7,$C$8,$C$9,$C$10,$C$11,$C$12)</f>
        <v>1500.0000000000002</v>
      </c>
      <c r="G15" s="12">
        <f t="shared" si="6"/>
        <v>2000.0000000000005</v>
      </c>
      <c r="H15" s="12">
        <f t="shared" si="6"/>
        <v>2500</v>
      </c>
      <c r="I15" s="12">
        <f t="shared" si="6"/>
        <v>1500</v>
      </c>
      <c r="J15" s="12">
        <f t="shared" si="6"/>
        <v>2000</v>
      </c>
      <c r="K15" s="12">
        <f t="shared" si="6"/>
        <v>2500</v>
      </c>
      <c r="L15" s="12">
        <f t="shared" si="6"/>
        <v>1499.9999999999995</v>
      </c>
      <c r="M15" s="12">
        <f t="shared" si="6"/>
        <v>1999.9999999999995</v>
      </c>
      <c r="N15" s="12">
        <f t="shared" si="6"/>
        <v>2500</v>
      </c>
      <c r="O15" s="12">
        <f t="shared" si="6"/>
        <v>1499.9999999999998</v>
      </c>
      <c r="P15" s="12">
        <f t="shared" si="6"/>
        <v>2000</v>
      </c>
      <c r="Q15" s="12">
        <f t="shared" si="6"/>
        <v>2499.9999999999995</v>
      </c>
      <c r="R15" s="12">
        <f t="shared" si="6"/>
        <v>1499.9999999999995</v>
      </c>
      <c r="S15" s="12">
        <f t="shared" si="6"/>
        <v>1999.9999999999995</v>
      </c>
      <c r="T15" s="13">
        <f t="shared" si="6"/>
        <v>2499.9999999999995</v>
      </c>
    </row>
    <row r="16" spans="2:20" x14ac:dyDescent="0.25">
      <c r="E16" s="21" t="s">
        <v>19</v>
      </c>
      <c r="F16" s="22" t="e">
        <f t="shared" ref="F16:T16" si="7">ws_direct_ads_T_pw(F3,F14,$C$3,$C$4,$C$5,$C$7,$C$8,$C$9,$C$10,$C$11,$C$12)</f>
        <v>#NUM!</v>
      </c>
      <c r="G16" s="22" t="e">
        <f t="shared" si="7"/>
        <v>#NUM!</v>
      </c>
      <c r="H16" s="22" t="e">
        <f t="shared" si="7"/>
        <v>#NUM!</v>
      </c>
      <c r="I16" s="22">
        <f t="shared" si="7"/>
        <v>303.00000000000006</v>
      </c>
      <c r="J16" s="22">
        <f t="shared" si="7"/>
        <v>303.00000000000006</v>
      </c>
      <c r="K16" s="22">
        <f t="shared" si="7"/>
        <v>303.00000000000006</v>
      </c>
      <c r="L16" s="22">
        <f t="shared" si="7"/>
        <v>323</v>
      </c>
      <c r="M16" s="22">
        <f t="shared" si="7"/>
        <v>323</v>
      </c>
      <c r="N16" s="22">
        <f t="shared" si="7"/>
        <v>322.99999999999994</v>
      </c>
      <c r="O16" s="22">
        <f t="shared" si="7"/>
        <v>342.99999999999994</v>
      </c>
      <c r="P16" s="22">
        <f t="shared" si="7"/>
        <v>342.99999999999994</v>
      </c>
      <c r="Q16" s="22">
        <f t="shared" si="7"/>
        <v>342.99999999999994</v>
      </c>
      <c r="R16" s="22">
        <f t="shared" si="7"/>
        <v>363.00000000000006</v>
      </c>
      <c r="S16" s="22">
        <f t="shared" si="7"/>
        <v>363.00000000000006</v>
      </c>
      <c r="T16" s="23">
        <f t="shared" si="7"/>
        <v>363.00000000000006</v>
      </c>
    </row>
    <row r="17" spans="5:20" x14ac:dyDescent="0.25">
      <c r="E17" s="19" t="s">
        <v>20</v>
      </c>
      <c r="F17" s="14">
        <f t="shared" ref="F17:T17" si="8">ws_direct_ads_dw_dp_pT(F3,F4,$C$3,$C$4,$C$5,$C$7,$C$8,$C$9,$C$10,$C$11,$C$12)</f>
        <v>2.4801181851180577E-4</v>
      </c>
      <c r="G17" s="14">
        <f t="shared" si="8"/>
        <v>2.2264879577443998E-4</v>
      </c>
      <c r="H17" s="14">
        <f t="shared" si="8"/>
        <v>2.0477601896398608E-4</v>
      </c>
      <c r="I17" s="14">
        <f t="shared" si="8"/>
        <v>1.1410605302886355E-4</v>
      </c>
      <c r="J17" s="14">
        <f t="shared" si="8"/>
        <v>1.0243695421410537E-4</v>
      </c>
      <c r="K17" s="14">
        <f t="shared" si="8"/>
        <v>9.4213991168456732E-5</v>
      </c>
      <c r="L17" s="14">
        <f t="shared" si="8"/>
        <v>5.8504794933370717E-5</v>
      </c>
      <c r="M17" s="14">
        <f t="shared" si="8"/>
        <v>5.2521779877701623E-5</v>
      </c>
      <c r="N17" s="14">
        <f t="shared" si="8"/>
        <v>4.830567780458315E-5</v>
      </c>
      <c r="O17" s="14">
        <f t="shared" si="8"/>
        <v>3.2765155772577456E-5</v>
      </c>
      <c r="P17" s="14">
        <f t="shared" si="8"/>
        <v>2.9414414683544817E-5</v>
      </c>
      <c r="Q17" s="14">
        <f t="shared" si="8"/>
        <v>2.7053219480038185E-5</v>
      </c>
      <c r="R17" s="14">
        <f t="shared" si="8"/>
        <v>1.9731931955183447E-5</v>
      </c>
      <c r="S17" s="14">
        <f t="shared" si="8"/>
        <v>1.7714038445775348E-5</v>
      </c>
      <c r="T17" s="15">
        <f t="shared" si="8"/>
        <v>1.62920722750089E-5</v>
      </c>
    </row>
    <row r="18" spans="5:20" x14ac:dyDescent="0.25">
      <c r="E18" s="21" t="s">
        <v>23</v>
      </c>
      <c r="F18" s="22">
        <f t="shared" ref="F18:T18" si="9">ws_direct_ads_dw_dT_pT(F3,F4,$C$3,$C$4,$C$5,$C$7,$C$8,$C$9,$C$10,$C$11,$C$12)</f>
        <v>-2.4957772562184569E-2</v>
      </c>
      <c r="G18" s="22">
        <f t="shared" si="9"/>
        <v>-2.9873941973284045E-2</v>
      </c>
      <c r="H18" s="22">
        <f t="shared" si="9"/>
        <v>-3.4344823687299936E-2</v>
      </c>
      <c r="I18" s="22">
        <f t="shared" si="9"/>
        <v>-9.8369315122407222E-3</v>
      </c>
      <c r="J18" s="22">
        <f t="shared" si="9"/>
        <v>-1.1774605304205325E-2</v>
      </c>
      <c r="K18" s="22">
        <f t="shared" si="9"/>
        <v>-1.3536772064501105E-2</v>
      </c>
      <c r="L18" s="22">
        <f t="shared" si="9"/>
        <v>-4.3594212269955157E-3</v>
      </c>
      <c r="M18" s="22">
        <f t="shared" si="9"/>
        <v>-5.218137814497632E-3</v>
      </c>
      <c r="N18" s="22">
        <f t="shared" si="9"/>
        <v>-5.9990751597236427E-3</v>
      </c>
      <c r="O18" s="22">
        <f t="shared" si="9"/>
        <v>-2.1276203865150264E-3</v>
      </c>
      <c r="P18" s="22">
        <f t="shared" si="9"/>
        <v>-2.5467179737117766E-3</v>
      </c>
      <c r="Q18" s="22">
        <f t="shared" si="9"/>
        <v>-2.9278553150645192E-3</v>
      </c>
      <c r="R18" s="22">
        <f t="shared" si="9"/>
        <v>-1.1251402665496527E-3</v>
      </c>
      <c r="S18" s="22">
        <f t="shared" si="9"/>
        <v>-1.3467698269531609E-3</v>
      </c>
      <c r="T18" s="23">
        <f t="shared" si="9"/>
        <v>-1.5483250350906736E-3</v>
      </c>
    </row>
    <row r="19" spans="5:20" x14ac:dyDescent="0.25">
      <c r="E19" s="19" t="s">
        <v>22</v>
      </c>
      <c r="F19" s="12">
        <f>ws_direct_ads_dp_dw_wT(F14,F4,$C$3,$C$4,$C$5,$C$7,$C$8,$C$9,$C$10,$C$11,$C$12)</f>
        <v>4032.0659152474968</v>
      </c>
      <c r="G19" s="12">
        <f t="shared" ref="G19:T19" si="10">ws_direct_ads_dp_dw_wT(G14,G4,$C$3,$C$4,$C$5,$C$7,$C$8,$C$9,$C$10,$C$11,$C$12)</f>
        <v>4491.3784353591373</v>
      </c>
      <c r="H19" s="12">
        <f t="shared" si="10"/>
        <v>4883.3843194103201</v>
      </c>
      <c r="I19" s="12">
        <f t="shared" si="10"/>
        <v>8763.7769728749299</v>
      </c>
      <c r="J19" s="12">
        <f t="shared" si="10"/>
        <v>9762.1020428807515</v>
      </c>
      <c r="K19" s="12">
        <f t="shared" si="10"/>
        <v>10614.134775502478</v>
      </c>
      <c r="L19" s="12">
        <f t="shared" si="10"/>
        <v>17092.616103327404</v>
      </c>
      <c r="M19" s="12">
        <f t="shared" si="10"/>
        <v>19039.720327995867</v>
      </c>
      <c r="N19" s="12">
        <f t="shared" si="10"/>
        <v>20701.50022623473</v>
      </c>
      <c r="O19" s="12">
        <f t="shared" si="10"/>
        <v>30520.227248147017</v>
      </c>
      <c r="P19" s="12">
        <f t="shared" si="10"/>
        <v>33996.936901805013</v>
      </c>
      <c r="Q19" s="12">
        <f t="shared" si="10"/>
        <v>36964.177248400018</v>
      </c>
      <c r="R19" s="12">
        <f t="shared" si="10"/>
        <v>50679.274704132877</v>
      </c>
      <c r="S19" s="12">
        <f t="shared" si="10"/>
        <v>56452.400905706032</v>
      </c>
      <c r="T19" s="13">
        <f t="shared" si="10"/>
        <v>61379.546022143688</v>
      </c>
    </row>
    <row r="20" spans="5:20" ht="15.75" thickBot="1" x14ac:dyDescent="0.3">
      <c r="E20" s="20" t="s">
        <v>21</v>
      </c>
      <c r="F20" s="16">
        <f>ws_direct_ads_dp_dT_wT(F14,F4,$C$3,$C$4,$C$5,$C$7,$C$8,$C$9,$C$10,$C$11,$C$12)</f>
        <v>100.63138406848358</v>
      </c>
      <c r="G20" s="16">
        <f t="shared" ref="G20:T20" si="11">ws_direct_ads_dp_dT_wT(G14,G4,$C$3,$C$4,$C$5,$C$7,$C$8,$C$9,$C$10,$C$11,$C$12)</f>
        <v>134.17517875797813</v>
      </c>
      <c r="H20" s="16">
        <f t="shared" si="11"/>
        <v>167.71897344747265</v>
      </c>
      <c r="I20" s="16">
        <f t="shared" si="11"/>
        <v>86.20867387072299</v>
      </c>
      <c r="J20" s="16">
        <f t="shared" si="11"/>
        <v>114.94489849429731</v>
      </c>
      <c r="K20" s="16">
        <f t="shared" si="11"/>
        <v>143.68112311787164</v>
      </c>
      <c r="L20" s="16">
        <f t="shared" si="11"/>
        <v>74.513913465730852</v>
      </c>
      <c r="M20" s="16">
        <f t="shared" si="11"/>
        <v>99.351884620974474</v>
      </c>
      <c r="N20" s="16">
        <f t="shared" si="11"/>
        <v>124.18985577621811</v>
      </c>
      <c r="O20" s="16">
        <f t="shared" si="11"/>
        <v>64.935457694228987</v>
      </c>
      <c r="P20" s="16">
        <f t="shared" si="11"/>
        <v>86.580610258971987</v>
      </c>
      <c r="Q20" s="16">
        <f t="shared" si="11"/>
        <v>108.22576282371497</v>
      </c>
      <c r="R20" s="16">
        <f t="shared" si="11"/>
        <v>57.021292649151121</v>
      </c>
      <c r="S20" s="16">
        <f t="shared" si="11"/>
        <v>76.028390198868181</v>
      </c>
      <c r="T20" s="17">
        <f t="shared" si="11"/>
        <v>95.03548774858524</v>
      </c>
    </row>
    <row r="21" spans="5:20" ht="15.75" thickBot="1" x14ac:dyDescent="0.3"/>
    <row r="22" spans="5:20" ht="15.75" thickBot="1" x14ac:dyDescent="0.3">
      <c r="E22" s="36" t="s">
        <v>32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8"/>
    </row>
    <row r="23" spans="5:20" x14ac:dyDescent="0.25">
      <c r="E23" s="18" t="s">
        <v>17</v>
      </c>
      <c r="F23" s="10">
        <f>ws_direct_ads_sur_w_pTpsat(F3,F4,F7,$C$3,$C$4,$C$5,$C$7,$C$8,$C$9,$C$10,$C$11,$C$12)</f>
        <v>0.59522836442833382</v>
      </c>
      <c r="G23" s="10">
        <f t="shared" ref="G23:T23" si="12">ws_direct_ads_sur_w_pTpsat(G3,G4,G7,$C$3,$C$4,$C$5,$C$7,$C$8,$C$9,$C$10,$C$11,$C$12)</f>
        <v>0.71247614647820789</v>
      </c>
      <c r="H23" s="10">
        <f t="shared" si="12"/>
        <v>0.81910407585594436</v>
      </c>
      <c r="I23" s="10">
        <f t="shared" si="12"/>
        <v>0.27385452726927251</v>
      </c>
      <c r="J23" s="10">
        <f t="shared" si="12"/>
        <v>0.32779825348513719</v>
      </c>
      <c r="K23" s="10">
        <f t="shared" si="12"/>
        <v>0.37685596467382693</v>
      </c>
      <c r="L23" s="10">
        <f t="shared" si="12"/>
        <v>0.14041150784008971</v>
      </c>
      <c r="M23" s="10">
        <f t="shared" si="12"/>
        <v>0.16806969560864518</v>
      </c>
      <c r="N23" s="10">
        <f t="shared" si="12"/>
        <v>0.19322271121833259</v>
      </c>
      <c r="O23" s="10">
        <f t="shared" si="12"/>
        <v>7.8636373854185884E-2</v>
      </c>
      <c r="P23" s="10">
        <f t="shared" si="12"/>
        <v>9.4126126987343406E-2</v>
      </c>
      <c r="Q23" s="10">
        <f t="shared" si="12"/>
        <v>0.10821287792015274</v>
      </c>
      <c r="R23" s="10">
        <f t="shared" si="12"/>
        <v>4.7356636692440272E-2</v>
      </c>
      <c r="S23" s="10">
        <f t="shared" si="12"/>
        <v>5.6684923026481114E-2</v>
      </c>
      <c r="T23" s="11">
        <f t="shared" si="12"/>
        <v>6.5168289100035595E-2</v>
      </c>
    </row>
    <row r="24" spans="5:20" x14ac:dyDescent="0.25">
      <c r="E24" s="19" t="s">
        <v>18</v>
      </c>
      <c r="F24" s="12">
        <f>ws_direct_ads_sur_p_wTpsat(F23,F4,F7,$C$3,$C$4,$C$5,$C$7,$C$8,$C$9,$C$10,$C$11,$C$12)</f>
        <v>1500.0000000000002</v>
      </c>
      <c r="G24" s="12">
        <f t="shared" ref="G24:T24" si="13">ws_direct_ads_sur_p_wTpsat(G23,G4,G7,$C$3,$C$4,$C$5,$C$7,$C$8,$C$9,$C$10,$C$11,$C$12)</f>
        <v>2000.0000000000005</v>
      </c>
      <c r="H24" s="12">
        <f t="shared" si="13"/>
        <v>2500</v>
      </c>
      <c r="I24" s="12">
        <f t="shared" si="13"/>
        <v>1500</v>
      </c>
      <c r="J24" s="12">
        <f t="shared" si="13"/>
        <v>2000</v>
      </c>
      <c r="K24" s="12">
        <f t="shared" si="13"/>
        <v>2500</v>
      </c>
      <c r="L24" s="12">
        <f t="shared" si="13"/>
        <v>1499.9999999999995</v>
      </c>
      <c r="M24" s="12">
        <f t="shared" si="13"/>
        <v>1999.9999999999995</v>
      </c>
      <c r="N24" s="12">
        <f t="shared" si="13"/>
        <v>2500</v>
      </c>
      <c r="O24" s="12">
        <f t="shared" si="13"/>
        <v>1499.9999999999998</v>
      </c>
      <c r="P24" s="12">
        <f t="shared" si="13"/>
        <v>2000</v>
      </c>
      <c r="Q24" s="12">
        <f t="shared" si="13"/>
        <v>2499.9999999999995</v>
      </c>
      <c r="R24" s="12">
        <f t="shared" si="13"/>
        <v>1499.9999999999995</v>
      </c>
      <c r="S24" s="12">
        <f t="shared" si="13"/>
        <v>1999.9999999999995</v>
      </c>
      <c r="T24" s="13">
        <f t="shared" si="13"/>
        <v>2499.9999999999995</v>
      </c>
    </row>
    <row r="25" spans="5:20" x14ac:dyDescent="0.25">
      <c r="E25" s="21" t="s">
        <v>19</v>
      </c>
      <c r="F25" s="22" t="e">
        <f>ws_direct_ads_sur_T_pwpsat(F3,F23,F7,$C$3,$C$4,$C$5,$C$7,$C$8,$C$9,$C$10,$C$11,$C$12)</f>
        <v>#NUM!</v>
      </c>
      <c r="G25" s="22" t="e">
        <f t="shared" ref="G25:T25" si="14">ws_direct_ads_sur_T_pwpsat(G3,G23,G7,$C$3,$C$4,$C$5,$C$7,$C$8,$C$9,$C$10,$C$11,$C$12)</f>
        <v>#NUM!</v>
      </c>
      <c r="H25" s="22" t="e">
        <f t="shared" si="14"/>
        <v>#NUM!</v>
      </c>
      <c r="I25" s="22">
        <f t="shared" si="14"/>
        <v>303.00000000000006</v>
      </c>
      <c r="J25" s="22">
        <f t="shared" si="14"/>
        <v>303.00000000000006</v>
      </c>
      <c r="K25" s="22">
        <f t="shared" si="14"/>
        <v>303.00000000000006</v>
      </c>
      <c r="L25" s="22">
        <f t="shared" si="14"/>
        <v>323</v>
      </c>
      <c r="M25" s="22">
        <f t="shared" si="14"/>
        <v>323</v>
      </c>
      <c r="N25" s="22">
        <f t="shared" si="14"/>
        <v>322.99999999999994</v>
      </c>
      <c r="O25" s="22">
        <f t="shared" si="14"/>
        <v>342.99999999999994</v>
      </c>
      <c r="P25" s="22">
        <f t="shared" si="14"/>
        <v>342.99999999999994</v>
      </c>
      <c r="Q25" s="22">
        <f t="shared" si="14"/>
        <v>342.99999999999994</v>
      </c>
      <c r="R25" s="22">
        <f t="shared" si="14"/>
        <v>363.00000000000006</v>
      </c>
      <c r="S25" s="22">
        <f t="shared" si="14"/>
        <v>363.00000000000006</v>
      </c>
      <c r="T25" s="23">
        <f t="shared" si="14"/>
        <v>363.00000000000006</v>
      </c>
    </row>
    <row r="26" spans="5:20" x14ac:dyDescent="0.25">
      <c r="E26" s="19" t="s">
        <v>20</v>
      </c>
      <c r="F26" s="14">
        <f>ws_direct_ads_sur_dw_dp_pTpsat(F3,F4,F7,$C$3,$C$4,$C$5,$C$7,$C$8,$C$9,$C$10,$C$11,$C$12)</f>
        <v>2.4801181851180577E-4</v>
      </c>
      <c r="G26" s="14">
        <f t="shared" ref="G26:T26" si="15">ws_direct_ads_sur_dw_dp_pTpsat(G3,G4,G7,$C$3,$C$4,$C$5,$C$7,$C$8,$C$9,$C$10,$C$11,$C$12)</f>
        <v>2.2264879577443998E-4</v>
      </c>
      <c r="H26" s="14">
        <f t="shared" si="15"/>
        <v>2.0477601896398608E-4</v>
      </c>
      <c r="I26" s="14">
        <f t="shared" si="15"/>
        <v>1.1410605302886355E-4</v>
      </c>
      <c r="J26" s="14">
        <f t="shared" si="15"/>
        <v>1.0243695421410537E-4</v>
      </c>
      <c r="K26" s="14">
        <f t="shared" si="15"/>
        <v>9.4213991168456732E-5</v>
      </c>
      <c r="L26" s="14">
        <f t="shared" si="15"/>
        <v>5.8504794933370717E-5</v>
      </c>
      <c r="M26" s="14">
        <f t="shared" si="15"/>
        <v>5.2521779877701623E-5</v>
      </c>
      <c r="N26" s="14">
        <f t="shared" si="15"/>
        <v>4.830567780458315E-5</v>
      </c>
      <c r="O26" s="14">
        <f t="shared" si="15"/>
        <v>3.2765155772577456E-5</v>
      </c>
      <c r="P26" s="14">
        <f t="shared" si="15"/>
        <v>2.9414414683544817E-5</v>
      </c>
      <c r="Q26" s="14">
        <f t="shared" si="15"/>
        <v>2.7053219480038185E-5</v>
      </c>
      <c r="R26" s="14">
        <f t="shared" si="15"/>
        <v>1.9731931955183447E-5</v>
      </c>
      <c r="S26" s="14">
        <f t="shared" si="15"/>
        <v>1.7714038445775348E-5</v>
      </c>
      <c r="T26" s="15">
        <f t="shared" si="15"/>
        <v>1.62920722750089E-5</v>
      </c>
    </row>
    <row r="27" spans="5:20" x14ac:dyDescent="0.25">
      <c r="E27" s="21" t="s">
        <v>23</v>
      </c>
      <c r="F27" s="22">
        <f>ws_direct_ads_sur_dw_dT_pTpsat(F3,F4,F7,F10,$C$3,$C$4,$C$5,$C$7,$C$8,$C$9,$C$10,$C$11,$C$12)</f>
        <v>-2.4957772562184569E-2</v>
      </c>
      <c r="G27" s="22">
        <f t="shared" ref="G27:T27" si="16">ws_direct_ads_sur_dw_dT_pTpsat(G3,G4,G7,G10,$C$3,$C$4,$C$5,$C$7,$C$8,$C$9,$C$10,$C$11,$C$12)</f>
        <v>-2.9873941973284045E-2</v>
      </c>
      <c r="H27" s="22">
        <f t="shared" si="16"/>
        <v>-3.4344823687299936E-2</v>
      </c>
      <c r="I27" s="22">
        <f t="shared" si="16"/>
        <v>-9.8369315122407222E-3</v>
      </c>
      <c r="J27" s="22">
        <f t="shared" si="16"/>
        <v>-1.1774605304205325E-2</v>
      </c>
      <c r="K27" s="22">
        <f t="shared" si="16"/>
        <v>-1.3536772064501105E-2</v>
      </c>
      <c r="L27" s="22">
        <f t="shared" si="16"/>
        <v>-4.3594212269955157E-3</v>
      </c>
      <c r="M27" s="22">
        <f t="shared" si="16"/>
        <v>-5.218137814497632E-3</v>
      </c>
      <c r="N27" s="22">
        <f t="shared" si="16"/>
        <v>-5.9990751597236427E-3</v>
      </c>
      <c r="O27" s="22">
        <f t="shared" si="16"/>
        <v>-2.1276203865150264E-3</v>
      </c>
      <c r="P27" s="22">
        <f t="shared" si="16"/>
        <v>-2.5467179737117766E-3</v>
      </c>
      <c r="Q27" s="22">
        <f t="shared" si="16"/>
        <v>-2.9278553150645192E-3</v>
      </c>
      <c r="R27" s="22">
        <f t="shared" si="16"/>
        <v>-1.1251402665496527E-3</v>
      </c>
      <c r="S27" s="22">
        <f t="shared" si="16"/>
        <v>-1.3467698269531609E-3</v>
      </c>
      <c r="T27" s="23">
        <f t="shared" si="16"/>
        <v>-1.5483250350906736E-3</v>
      </c>
    </row>
    <row r="28" spans="5:20" x14ac:dyDescent="0.25">
      <c r="E28" s="19" t="s">
        <v>22</v>
      </c>
      <c r="F28" s="12">
        <f>ws_direct_ads_sur_dp_dw_wTpsat(F23,F4,F7,$C$3,$C$4,$C$5,$C$7,$C$8,$C$9,$C$10,$C$11,$C$12)</f>
        <v>4032.0659152474968</v>
      </c>
      <c r="G28" s="12">
        <f t="shared" ref="G28:T28" si="17">ws_direct_ads_sur_dp_dw_wTpsat(G23,G4,G7,$C$3,$C$4,$C$5,$C$7,$C$8,$C$9,$C$10,$C$11,$C$12)</f>
        <v>4491.3784353591373</v>
      </c>
      <c r="H28" s="12">
        <f t="shared" si="17"/>
        <v>4883.3843194103201</v>
      </c>
      <c r="I28" s="12">
        <f t="shared" si="17"/>
        <v>8763.7769728749299</v>
      </c>
      <c r="J28" s="12">
        <f t="shared" si="17"/>
        <v>9762.1020428807515</v>
      </c>
      <c r="K28" s="12">
        <f t="shared" si="17"/>
        <v>10614.134775502478</v>
      </c>
      <c r="L28" s="12">
        <f t="shared" si="17"/>
        <v>17092.616103327404</v>
      </c>
      <c r="M28" s="12">
        <f t="shared" si="17"/>
        <v>19039.720327995867</v>
      </c>
      <c r="N28" s="12">
        <f t="shared" si="17"/>
        <v>20701.50022623473</v>
      </c>
      <c r="O28" s="12">
        <f t="shared" si="17"/>
        <v>30520.227248147017</v>
      </c>
      <c r="P28" s="12">
        <f t="shared" si="17"/>
        <v>33996.936901805013</v>
      </c>
      <c r="Q28" s="12">
        <f t="shared" si="17"/>
        <v>36964.177248400018</v>
      </c>
      <c r="R28" s="12">
        <f t="shared" si="17"/>
        <v>50679.274704132877</v>
      </c>
      <c r="S28" s="12">
        <f t="shared" si="17"/>
        <v>56452.400905706032</v>
      </c>
      <c r="T28" s="13">
        <f t="shared" si="17"/>
        <v>61379.546022143688</v>
      </c>
    </row>
    <row r="29" spans="5:20" ht="15.75" thickBot="1" x14ac:dyDescent="0.3">
      <c r="E29" s="20" t="s">
        <v>21</v>
      </c>
      <c r="F29" s="16">
        <f>ws_direct_ads_sur_dp_dT_wTpsat(F23,F4,F7,F10,$C$3,$C$4,$C$5,$C$7,$C$8,$C$9,$C$10,$C$11,$C$12)</f>
        <v>100.63138406848358</v>
      </c>
      <c r="G29" s="16">
        <f t="shared" ref="G29:T29" si="18">ws_direct_ads_sur_dp_dT_wTpsat(G23,G4,G7,G10,$C$3,$C$4,$C$5,$C$7,$C$8,$C$9,$C$10,$C$11,$C$12)</f>
        <v>134.17517875797813</v>
      </c>
      <c r="H29" s="16">
        <f t="shared" si="18"/>
        <v>167.71897344747265</v>
      </c>
      <c r="I29" s="16">
        <f t="shared" si="18"/>
        <v>86.20867387072299</v>
      </c>
      <c r="J29" s="16">
        <f t="shared" si="18"/>
        <v>114.94489849429731</v>
      </c>
      <c r="K29" s="16">
        <f t="shared" si="18"/>
        <v>143.68112311787164</v>
      </c>
      <c r="L29" s="16">
        <f t="shared" si="18"/>
        <v>74.513913465730852</v>
      </c>
      <c r="M29" s="16">
        <f t="shared" si="18"/>
        <v>99.351884620974474</v>
      </c>
      <c r="N29" s="16">
        <f t="shared" si="18"/>
        <v>124.18985577621811</v>
      </c>
      <c r="O29" s="16">
        <f t="shared" si="18"/>
        <v>64.935457694228987</v>
      </c>
      <c r="P29" s="16">
        <f t="shared" si="18"/>
        <v>86.580610258971987</v>
      </c>
      <c r="Q29" s="16">
        <f t="shared" si="18"/>
        <v>108.22576282371497</v>
      </c>
      <c r="R29" s="16">
        <f t="shared" si="18"/>
        <v>57.021292649151121</v>
      </c>
      <c r="S29" s="16">
        <f t="shared" si="18"/>
        <v>76.028390198868181</v>
      </c>
      <c r="T29" s="17">
        <f t="shared" si="18"/>
        <v>95.03548774858524</v>
      </c>
    </row>
  </sheetData>
  <mergeCells count="5">
    <mergeCell ref="B2:C2"/>
    <mergeCell ref="E2:T2"/>
    <mergeCell ref="E6:T6"/>
    <mergeCell ref="E13:T13"/>
    <mergeCell ref="E22:T2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T33"/>
  <sheetViews>
    <sheetView zoomScale="85" zoomScaleNormal="85" workbookViewId="0">
      <selection activeCell="H38" sqref="H38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37.5703125" customWidth="1"/>
    <col min="6" max="14" width="12.85546875" bestFit="1" customWidth="1"/>
    <col min="15" max="15" width="11.85546875" bestFit="1" customWidth="1"/>
    <col min="16" max="16" width="12.85546875" bestFit="1" customWidth="1"/>
    <col min="17" max="17" width="10.85546875" bestFit="1" customWidth="1"/>
    <col min="18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4</v>
      </c>
      <c r="E3" s="3" t="s">
        <v>7</v>
      </c>
      <c r="F3" s="6">
        <v>1500</v>
      </c>
      <c r="G3" s="6">
        <v>2000</v>
      </c>
      <c r="H3" s="6">
        <v>2500</v>
      </c>
      <c r="I3" s="6">
        <v>1500</v>
      </c>
      <c r="J3" s="6">
        <v>2000</v>
      </c>
      <c r="K3" s="6">
        <v>2500</v>
      </c>
      <c r="L3" s="6">
        <v>1500</v>
      </c>
      <c r="M3" s="6">
        <v>2000</v>
      </c>
      <c r="N3" s="6">
        <v>2500</v>
      </c>
      <c r="O3" s="6">
        <v>1500</v>
      </c>
      <c r="P3" s="6">
        <v>2000</v>
      </c>
      <c r="Q3" s="6">
        <v>2500</v>
      </c>
      <c r="R3" s="6">
        <v>1500</v>
      </c>
      <c r="S3" s="6">
        <v>2000</v>
      </c>
      <c r="T3" s="7">
        <v>2500</v>
      </c>
    </row>
    <row r="4" spans="2:20" ht="15.75" thickBot="1" x14ac:dyDescent="0.3">
      <c r="B4" s="4" t="s">
        <v>10</v>
      </c>
      <c r="C4" s="1">
        <v>123</v>
      </c>
      <c r="E4" s="5" t="s">
        <v>8</v>
      </c>
      <c r="F4" s="8">
        <v>283</v>
      </c>
      <c r="G4" s="8">
        <v>283</v>
      </c>
      <c r="H4" s="8">
        <v>283</v>
      </c>
      <c r="I4" s="8">
        <v>303</v>
      </c>
      <c r="J4" s="8">
        <v>303</v>
      </c>
      <c r="K4" s="8">
        <v>303</v>
      </c>
      <c r="L4" s="8">
        <v>323</v>
      </c>
      <c r="M4" s="8">
        <v>323</v>
      </c>
      <c r="N4" s="8">
        <v>323</v>
      </c>
      <c r="O4" s="8">
        <v>343</v>
      </c>
      <c r="P4" s="8">
        <v>343</v>
      </c>
      <c r="Q4" s="8">
        <v>343</v>
      </c>
      <c r="R4" s="8">
        <v>363</v>
      </c>
      <c r="S4" s="8">
        <v>363</v>
      </c>
      <c r="T4" s="9">
        <v>363</v>
      </c>
    </row>
    <row r="5" spans="2:20" ht="15.75" thickBot="1" x14ac:dyDescent="0.3">
      <c r="B5" s="4" t="s">
        <v>11</v>
      </c>
      <c r="C5" s="1" t="s">
        <v>3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0</v>
      </c>
      <c r="E7" s="18" t="s">
        <v>24</v>
      </c>
      <c r="F7" s="24">
        <f>ws_direct_ref_p_sat_T(F4,$C$3,$C$4,$C$5,$C$7,$C$8,$C$9,$C$10,$C$11,$C$12)</f>
        <v>1215.8227747140943</v>
      </c>
      <c r="G7" s="24">
        <f t="shared" ref="G7:T7" si="0">ws_direct_ref_p_sat_T(G4,$C$3,$C$4,$C$5,$C$7,$C$8,$C$9,$C$10,$C$11,$C$12)</f>
        <v>1215.8227747140943</v>
      </c>
      <c r="H7" s="24">
        <f t="shared" si="0"/>
        <v>1215.8227747140943</v>
      </c>
      <c r="I7" s="24">
        <f t="shared" si="0"/>
        <v>4210.4855765112125</v>
      </c>
      <c r="J7" s="24">
        <f t="shared" si="0"/>
        <v>4210.4855765112125</v>
      </c>
      <c r="K7" s="24">
        <f t="shared" si="0"/>
        <v>4210.4855765112125</v>
      </c>
      <c r="L7" s="24">
        <f t="shared" si="0"/>
        <v>12260.826272925424</v>
      </c>
      <c r="M7" s="24">
        <f t="shared" si="0"/>
        <v>12260.826272925424</v>
      </c>
      <c r="N7" s="24">
        <f t="shared" si="0"/>
        <v>12260.826272925424</v>
      </c>
      <c r="O7" s="24">
        <f t="shared" si="0"/>
        <v>31000.342915261295</v>
      </c>
      <c r="P7" s="24">
        <f t="shared" si="0"/>
        <v>31000.342915261295</v>
      </c>
      <c r="Q7" s="24">
        <f t="shared" si="0"/>
        <v>31000.342915261295</v>
      </c>
      <c r="R7" s="24">
        <f t="shared" si="0"/>
        <v>69783.814092772038</v>
      </c>
      <c r="S7" s="24">
        <f t="shared" si="0"/>
        <v>69783.814092772038</v>
      </c>
      <c r="T7" s="25">
        <f t="shared" si="0"/>
        <v>69783.814092772038</v>
      </c>
    </row>
    <row r="8" spans="2:20" x14ac:dyDescent="0.25">
      <c r="B8" s="4" t="s">
        <v>6</v>
      </c>
      <c r="C8" s="1">
        <v>1</v>
      </c>
      <c r="E8" s="19" t="s">
        <v>25</v>
      </c>
      <c r="F8" s="26">
        <f>ws_direct_ref_rho_l_T(F4,$C$3,$C$4,$C$5,$C$7,$C$8,$C$9,$C$10,$C$11,$C$12)</f>
        <v>999.66457580337305</v>
      </c>
      <c r="G8" s="26">
        <f t="shared" ref="G8:T8" si="1">ws_direct_ref_rho_l_T(G4,$C$3,$C$4,$C$5,$C$7,$C$8,$C$9,$C$10,$C$11,$C$12)</f>
        <v>999.66457580337305</v>
      </c>
      <c r="H8" s="26">
        <f t="shared" si="1"/>
        <v>999.66457580337305</v>
      </c>
      <c r="I8" s="26">
        <f t="shared" si="1"/>
        <v>995.64718834261362</v>
      </c>
      <c r="J8" s="26">
        <f t="shared" si="1"/>
        <v>995.64718834261362</v>
      </c>
      <c r="K8" s="26">
        <f t="shared" si="1"/>
        <v>995.64718834261362</v>
      </c>
      <c r="L8" s="26">
        <f t="shared" si="1"/>
        <v>988.05858998506767</v>
      </c>
      <c r="M8" s="26">
        <f t="shared" si="1"/>
        <v>988.05858998506767</v>
      </c>
      <c r="N8" s="26">
        <f t="shared" si="1"/>
        <v>988.05858998506767</v>
      </c>
      <c r="O8" s="26">
        <f t="shared" si="1"/>
        <v>977.81310224425124</v>
      </c>
      <c r="P8" s="26">
        <f t="shared" si="1"/>
        <v>977.81310224425124</v>
      </c>
      <c r="Q8" s="26">
        <f t="shared" si="1"/>
        <v>977.81310224425124</v>
      </c>
      <c r="R8" s="26">
        <f t="shared" si="1"/>
        <v>965.39191820098574</v>
      </c>
      <c r="S8" s="26">
        <f t="shared" si="1"/>
        <v>965.39191820098574</v>
      </c>
      <c r="T8" s="27">
        <f t="shared" si="1"/>
        <v>965.39191820098574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283</v>
      </c>
      <c r="G9" s="28">
        <f t="shared" ref="G9:T9" si="2">ws_direct_ref_T_sat_p(G7,$C$3,$C$4,$C$5,$C$7,$C$8,$C$9,$C$10,$C$11,$C$12)</f>
        <v>283</v>
      </c>
      <c r="H9" s="28">
        <f t="shared" si="2"/>
        <v>283</v>
      </c>
      <c r="I9" s="28">
        <f t="shared" si="2"/>
        <v>303</v>
      </c>
      <c r="J9" s="28">
        <f t="shared" si="2"/>
        <v>303</v>
      </c>
      <c r="K9" s="28">
        <f t="shared" si="2"/>
        <v>303</v>
      </c>
      <c r="L9" s="28">
        <f t="shared" si="2"/>
        <v>322.99999999999989</v>
      </c>
      <c r="M9" s="28">
        <f t="shared" si="2"/>
        <v>322.99999999999989</v>
      </c>
      <c r="N9" s="28">
        <f t="shared" si="2"/>
        <v>322.99999999999989</v>
      </c>
      <c r="O9" s="28">
        <f t="shared" si="2"/>
        <v>343</v>
      </c>
      <c r="P9" s="28">
        <f t="shared" si="2"/>
        <v>343</v>
      </c>
      <c r="Q9" s="28">
        <f t="shared" si="2"/>
        <v>343</v>
      </c>
      <c r="R9" s="28">
        <f t="shared" si="2"/>
        <v>363</v>
      </c>
      <c r="S9" s="28">
        <f t="shared" si="2"/>
        <v>363</v>
      </c>
      <c r="T9" s="29">
        <f t="shared" si="2"/>
        <v>363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81.566619067642264</v>
      </c>
      <c r="G10" s="26">
        <f t="shared" ref="G10:T10" si="3">ws_direct_ref_dp_sat_dT_T(G4,$C$3,$C$4,$C$5,$C$7,$C$8,$C$9,$C$10,$C$11,$C$12)</f>
        <v>81.566619067642264</v>
      </c>
      <c r="H10" s="26">
        <f t="shared" si="3"/>
        <v>81.566619067642264</v>
      </c>
      <c r="I10" s="26">
        <f t="shared" si="3"/>
        <v>241.98691860189211</v>
      </c>
      <c r="J10" s="26">
        <f t="shared" si="3"/>
        <v>241.98691860189211</v>
      </c>
      <c r="K10" s="26">
        <f t="shared" si="3"/>
        <v>241.98691860189211</v>
      </c>
      <c r="L10" s="26">
        <f t="shared" si="3"/>
        <v>609.06809861274974</v>
      </c>
      <c r="M10" s="26">
        <f t="shared" si="3"/>
        <v>609.06809861274974</v>
      </c>
      <c r="N10" s="26">
        <f t="shared" si="3"/>
        <v>609.06809861274974</v>
      </c>
      <c r="O10" s="26">
        <f t="shared" si="3"/>
        <v>1342.014303920361</v>
      </c>
      <c r="P10" s="26">
        <f t="shared" si="3"/>
        <v>1342.014303920361</v>
      </c>
      <c r="Q10" s="26">
        <f t="shared" si="3"/>
        <v>1342.014303920361</v>
      </c>
      <c r="R10" s="26">
        <f t="shared" si="3"/>
        <v>2652.7755237052747</v>
      </c>
      <c r="S10" s="26">
        <f t="shared" si="3"/>
        <v>2652.7755237052747</v>
      </c>
      <c r="T10" s="27">
        <f t="shared" si="3"/>
        <v>2652.7755237052747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-8.5674108759820233E-2</v>
      </c>
      <c r="G11" s="16">
        <f t="shared" ref="G11:T11" si="4">ws_direct_ref_drho_l_dT_T(G4,$C$3,$C$4,$C$5,$C$7,$C$8,$C$9,$C$10,$C$11,$C$12)</f>
        <v>-8.5674108759820233E-2</v>
      </c>
      <c r="H11" s="16">
        <f t="shared" si="4"/>
        <v>-8.5674108759820233E-2</v>
      </c>
      <c r="I11" s="16">
        <f t="shared" si="4"/>
        <v>-0.30058839572636342</v>
      </c>
      <c r="J11" s="16">
        <f t="shared" si="4"/>
        <v>-0.30058839572636342</v>
      </c>
      <c r="K11" s="16">
        <f t="shared" si="4"/>
        <v>-0.30058839572636342</v>
      </c>
      <c r="L11" s="16">
        <f t="shared" si="4"/>
        <v>-0.45111370612482282</v>
      </c>
      <c r="M11" s="16">
        <f t="shared" si="4"/>
        <v>-0.45111370612482282</v>
      </c>
      <c r="N11" s="16">
        <f t="shared" si="4"/>
        <v>-0.45111370612482282</v>
      </c>
      <c r="O11" s="16">
        <f t="shared" si="4"/>
        <v>-0.56957724779885011</v>
      </c>
      <c r="P11" s="16">
        <f t="shared" si="4"/>
        <v>-0.56957724779885011</v>
      </c>
      <c r="Q11" s="16">
        <f t="shared" si="4"/>
        <v>-0.56957724779885011</v>
      </c>
      <c r="R11" s="16">
        <f t="shared" si="4"/>
        <v>-0.67038454447658502</v>
      </c>
      <c r="S11" s="16">
        <f t="shared" si="4"/>
        <v>-0.67038454447658502</v>
      </c>
      <c r="T11" s="17">
        <f t="shared" si="4"/>
        <v>-0.67038454447658502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17</v>
      </c>
      <c r="F14" s="10">
        <f t="shared" ref="F14:T14" si="5">ws_direct_ads_w_pT(F3,F4,$C$3,$C$4,$C$5,$C$7,$C$8,$C$9,$C$10,$C$11,$C$12)</f>
        <v>0.4315811620595168</v>
      </c>
      <c r="G14" s="10">
        <f t="shared" si="5"/>
        <v>0.44506475997507899</v>
      </c>
      <c r="H14" s="10">
        <f t="shared" si="5"/>
        <v>0.45286794137807024</v>
      </c>
      <c r="I14" s="10">
        <f t="shared" si="5"/>
        <v>0.2307613791287306</v>
      </c>
      <c r="J14" s="10">
        <f t="shared" si="5"/>
        <v>0.30515819137470657</v>
      </c>
      <c r="K14" s="10">
        <f t="shared" si="5"/>
        <v>0.35249957114928931</v>
      </c>
      <c r="L14" s="10">
        <f t="shared" si="5"/>
        <v>7.3512044448355462E-2</v>
      </c>
      <c r="M14" s="10">
        <f t="shared" si="5"/>
        <v>9.1186744596447225E-2</v>
      </c>
      <c r="N14" s="10">
        <f t="shared" si="5"/>
        <v>0.11147328840507696</v>
      </c>
      <c r="O14" s="10">
        <f t="shared" si="5"/>
        <v>4.1734078357200138E-2</v>
      </c>
      <c r="P14" s="10">
        <f t="shared" si="5"/>
        <v>4.7133524497013475E-2</v>
      </c>
      <c r="Q14" s="10">
        <f t="shared" si="5"/>
        <v>5.2482399733871372E-2</v>
      </c>
      <c r="R14" s="10">
        <f t="shared" si="5"/>
        <v>2.9568490139865365E-2</v>
      </c>
      <c r="S14" s="10">
        <f t="shared" si="5"/>
        <v>3.216766710320787E-2</v>
      </c>
      <c r="T14" s="11">
        <f t="shared" si="5"/>
        <v>3.4573506101169188E-2</v>
      </c>
    </row>
    <row r="15" spans="2:20" x14ac:dyDescent="0.25">
      <c r="E15" s="19" t="s">
        <v>18</v>
      </c>
      <c r="F15" s="12">
        <f t="shared" ref="F15:T15" si="6">ws_direct_ads_p_wT(F14,F4,$C$3,$C$4,$C$5,$C$7,$C$8,$C$9,$C$10,$C$11,$C$12)</f>
        <v>1499.9999999999993</v>
      </c>
      <c r="G15" s="12">
        <f t="shared" si="6"/>
        <v>2000.0000000000009</v>
      </c>
      <c r="H15" s="12">
        <f t="shared" si="6"/>
        <v>2500.0000000000018</v>
      </c>
      <c r="I15" s="12">
        <f t="shared" si="6"/>
        <v>1500</v>
      </c>
      <c r="J15" s="12">
        <f t="shared" si="6"/>
        <v>1999.9999999999995</v>
      </c>
      <c r="K15" s="12">
        <f t="shared" si="6"/>
        <v>2500.0000000000005</v>
      </c>
      <c r="L15" s="12">
        <f t="shared" si="6"/>
        <v>1499.9999999999995</v>
      </c>
      <c r="M15" s="12">
        <f t="shared" si="6"/>
        <v>1999.9999999999995</v>
      </c>
      <c r="N15" s="12">
        <f t="shared" si="6"/>
        <v>2499.9999999999991</v>
      </c>
      <c r="O15" s="12">
        <f t="shared" si="6"/>
        <v>1500.0000000000002</v>
      </c>
      <c r="P15" s="12">
        <f t="shared" si="6"/>
        <v>1999.9999999999982</v>
      </c>
      <c r="Q15" s="12">
        <f t="shared" si="6"/>
        <v>2499.9999999999986</v>
      </c>
      <c r="R15" s="12">
        <f t="shared" si="6"/>
        <v>1499.999999999998</v>
      </c>
      <c r="S15" s="12">
        <f t="shared" si="6"/>
        <v>1999.9999999999968</v>
      </c>
      <c r="T15" s="13">
        <f t="shared" si="6"/>
        <v>2499.9999999999982</v>
      </c>
    </row>
    <row r="16" spans="2:20" x14ac:dyDescent="0.25">
      <c r="E16" s="21" t="s">
        <v>19</v>
      </c>
      <c r="F16" s="22">
        <f t="shared" ref="F16:T16" si="7">ws_direct_ads_T_pw(F3,F14,$C$3,$C$4,$C$5,$C$7,$C$8,$C$9,$C$10,$C$11,$C$12)</f>
        <v>283</v>
      </c>
      <c r="G16" s="22">
        <f t="shared" si="7"/>
        <v>283.00000000000017</v>
      </c>
      <c r="H16" s="22">
        <f t="shared" si="7"/>
        <v>283.00000000000006</v>
      </c>
      <c r="I16" s="22">
        <f t="shared" si="7"/>
        <v>303.00000000000006</v>
      </c>
      <c r="J16" s="22">
        <f t="shared" si="7"/>
        <v>303</v>
      </c>
      <c r="K16" s="22">
        <f t="shared" si="7"/>
        <v>303</v>
      </c>
      <c r="L16" s="22">
        <f t="shared" si="7"/>
        <v>322.99999999999983</v>
      </c>
      <c r="M16" s="22">
        <f t="shared" si="7"/>
        <v>323</v>
      </c>
      <c r="N16" s="22">
        <f t="shared" si="7"/>
        <v>323</v>
      </c>
      <c r="O16" s="22">
        <f t="shared" si="7"/>
        <v>343</v>
      </c>
      <c r="P16" s="22">
        <f t="shared" si="7"/>
        <v>343</v>
      </c>
      <c r="Q16" s="22">
        <f t="shared" si="7"/>
        <v>343</v>
      </c>
      <c r="R16" s="22">
        <f t="shared" si="7"/>
        <v>363</v>
      </c>
      <c r="S16" s="22">
        <f t="shared" si="7"/>
        <v>363.00000000000006</v>
      </c>
      <c r="T16" s="23">
        <f t="shared" si="7"/>
        <v>363.00000000000006</v>
      </c>
    </row>
    <row r="17" spans="5:20" x14ac:dyDescent="0.25">
      <c r="E17" s="19" t="s">
        <v>20</v>
      </c>
      <c r="F17" s="14">
        <f t="shared" ref="F17:T17" si="8">ws_direct_ads_dw_dp_pT(F3,F4,$C$3,$C$4,$C$5,$C$7,$C$8,$C$9,$C$10,$C$11,$C$12)</f>
        <v>3.7098455720381194E-5</v>
      </c>
      <c r="G17" s="14">
        <f t="shared" si="8"/>
        <v>1.9692386889377767E-5</v>
      </c>
      <c r="H17" s="14">
        <f t="shared" si="8"/>
        <v>1.2409891083668034E-5</v>
      </c>
      <c r="I17" s="14">
        <f t="shared" si="8"/>
        <v>1.7194660614660019E-4</v>
      </c>
      <c r="J17" s="14">
        <f t="shared" si="8"/>
        <v>1.2065284713356991E-4</v>
      </c>
      <c r="K17" s="14">
        <f t="shared" si="8"/>
        <v>7.2479288895799314E-5</v>
      </c>
      <c r="L17" s="14">
        <f t="shared" si="8"/>
        <v>3.3186994945289395E-5</v>
      </c>
      <c r="M17" s="14">
        <f t="shared" si="8"/>
        <v>3.7758226919389962E-5</v>
      </c>
      <c r="N17" s="14">
        <f t="shared" si="8"/>
        <v>4.3543525146569716E-5</v>
      </c>
      <c r="O17" s="14">
        <f t="shared" si="8"/>
        <v>1.0974831694352457E-5</v>
      </c>
      <c r="P17" s="14">
        <f t="shared" si="8"/>
        <v>1.0695088136018493E-5</v>
      </c>
      <c r="Q17" s="14">
        <f t="shared" si="8"/>
        <v>1.0740777054707362E-5</v>
      </c>
      <c r="R17" s="14">
        <f t="shared" si="8"/>
        <v>5.4727403891912109E-6</v>
      </c>
      <c r="S17" s="14">
        <f t="shared" si="8"/>
        <v>4.9714118629958537E-6</v>
      </c>
      <c r="T17" s="15">
        <f t="shared" si="8"/>
        <v>4.6760613670486707E-6</v>
      </c>
    </row>
    <row r="18" spans="5:20" x14ac:dyDescent="0.25">
      <c r="E18" s="21" t="s">
        <v>23</v>
      </c>
      <c r="F18" s="22">
        <f t="shared" ref="F18:T18" si="9">ws_direct_ads_dw_dT_pT(F3,F4,$C$3,$C$4,$C$5,$C$7,$C$8,$C$9,$C$10,$C$11,$C$12)</f>
        <v>-3.7289546822373769E-3</v>
      </c>
      <c r="G18" s="22">
        <f t="shared" si="9"/>
        <v>-2.6111048946365215E-3</v>
      </c>
      <c r="H18" s="22">
        <f t="shared" si="9"/>
        <v>-2.041158755624709E-3</v>
      </c>
      <c r="I18" s="22">
        <f t="shared" si="9"/>
        <v>-1.5771512302103875E-2</v>
      </c>
      <c r="J18" s="22">
        <f t="shared" si="9"/>
        <v>-1.4553413369414356E-2</v>
      </c>
      <c r="K18" s="22">
        <f t="shared" si="9"/>
        <v>-1.0832063178685193E-2</v>
      </c>
      <c r="L18" s="22">
        <f t="shared" si="9"/>
        <v>-2.8302517329567485E-3</v>
      </c>
      <c r="M18" s="22">
        <f t="shared" si="9"/>
        <v>-4.2169191259371188E-3</v>
      </c>
      <c r="N18" s="22">
        <f t="shared" si="9"/>
        <v>-5.9944674209559037E-3</v>
      </c>
      <c r="O18" s="22">
        <f t="shared" si="9"/>
        <v>-8.823199856357461E-4</v>
      </c>
      <c r="P18" s="22">
        <f t="shared" si="9"/>
        <v>-1.1243676268766628E-3</v>
      </c>
      <c r="Q18" s="22">
        <f t="shared" si="9"/>
        <v>-1.3900999594225871E-3</v>
      </c>
      <c r="R18" s="22">
        <f t="shared" si="9"/>
        <v>-4.1943434609237573E-4</v>
      </c>
      <c r="S18" s="22">
        <f t="shared" si="9"/>
        <v>-4.9760496031260896E-4</v>
      </c>
      <c r="T18" s="23">
        <f t="shared" si="9"/>
        <v>-5.7561183499053132E-4</v>
      </c>
    </row>
    <row r="19" spans="5:20" x14ac:dyDescent="0.25">
      <c r="E19" s="19" t="s">
        <v>22</v>
      </c>
      <c r="F19" s="12">
        <f>ws_direct_ads_dp_dw_wT(F14,F4,$C$3,$C$4,$C$5,$C$7,$C$8,$C$9,$C$10,$C$11,$C$12)</f>
        <v>26955.299906206543</v>
      </c>
      <c r="G19" s="12">
        <f t="shared" ref="G19:T19" si="10">ws_direct_ads_dp_dw_wT(G14,G4,$C$3,$C$4,$C$5,$C$7,$C$8,$C$9,$C$10,$C$11,$C$12)</f>
        <v>50781.045772537058</v>
      </c>
      <c r="H19" s="12">
        <f t="shared" si="10"/>
        <v>80580.884494308208</v>
      </c>
      <c r="I19" s="12">
        <f t="shared" si="10"/>
        <v>5815.7588707939303</v>
      </c>
      <c r="J19" s="12">
        <f t="shared" si="10"/>
        <v>8288.2420411757012</v>
      </c>
      <c r="K19" s="12">
        <f t="shared" si="10"/>
        <v>13797.044855636788</v>
      </c>
      <c r="L19" s="12">
        <f t="shared" si="10"/>
        <v>30132.285301774238</v>
      </c>
      <c r="M19" s="12">
        <f t="shared" si="10"/>
        <v>26484.294459453835</v>
      </c>
      <c r="N19" s="12">
        <f t="shared" si="10"/>
        <v>22965.526944223024</v>
      </c>
      <c r="O19" s="12">
        <f t="shared" si="10"/>
        <v>91117.570442067969</v>
      </c>
      <c r="P19" s="12">
        <f t="shared" si="10"/>
        <v>93500.865750908502</v>
      </c>
      <c r="Q19" s="12">
        <f t="shared" si="10"/>
        <v>93103.133498309558</v>
      </c>
      <c r="R19" s="12">
        <f t="shared" si="10"/>
        <v>182723.81455824623</v>
      </c>
      <c r="S19" s="12">
        <f t="shared" si="10"/>
        <v>201150.1013310499</v>
      </c>
      <c r="T19" s="13">
        <f t="shared" si="10"/>
        <v>213855.19168905978</v>
      </c>
    </row>
    <row r="20" spans="5:20" ht="15.75" thickBot="1" x14ac:dyDescent="0.3">
      <c r="E20" s="20" t="s">
        <v>21</v>
      </c>
      <c r="F20" s="16">
        <f>ws_direct_ads_dp_dT_wT(F14,F4,$C$3,$C$4,$C$5,$C$7,$C$8,$C$9,$C$10,$C$11,$C$12)</f>
        <v>100.51509179636169</v>
      </c>
      <c r="G20" s="16">
        <f t="shared" ref="G20:T20" si="11">ws_direct_ads_dp_dT_wT(G14,G4,$C$3,$C$4,$C$5,$C$7,$C$8,$C$9,$C$10,$C$11,$C$12)</f>
        <v>132.59463717143268</v>
      </c>
      <c r="H20" s="16">
        <f t="shared" si="11"/>
        <v>164.47837792154081</v>
      </c>
      <c r="I20" s="16">
        <f t="shared" si="11"/>
        <v>91.723312576796204</v>
      </c>
      <c r="J20" s="16">
        <f t="shared" si="11"/>
        <v>120.62221253098862</v>
      </c>
      <c r="K20" s="16">
        <f t="shared" si="11"/>
        <v>149.45046155541115</v>
      </c>
      <c r="L20" s="16">
        <f t="shared" si="11"/>
        <v>85.281952693293718</v>
      </c>
      <c r="M20" s="16">
        <f t="shared" si="11"/>
        <v>111.68212784302131</v>
      </c>
      <c r="N20" s="16">
        <f t="shared" si="11"/>
        <v>137.66610307222987</v>
      </c>
      <c r="O20" s="16">
        <f t="shared" si="11"/>
        <v>80.394853443609463</v>
      </c>
      <c r="P20" s="16">
        <f t="shared" si="11"/>
        <v>105.12934653526239</v>
      </c>
      <c r="Q20" s="16">
        <f t="shared" si="11"/>
        <v>129.42266209811581</v>
      </c>
      <c r="R20" s="16">
        <f t="shared" si="11"/>
        <v>76.640643674742478</v>
      </c>
      <c r="S20" s="16">
        <f t="shared" si="11"/>
        <v>100.09328818971424</v>
      </c>
      <c r="T20" s="17">
        <f t="shared" si="11"/>
        <v>123.0975793103914</v>
      </c>
    </row>
    <row r="21" spans="5:20" ht="15.75" thickBot="1" x14ac:dyDescent="0.3"/>
    <row r="22" spans="5:20" ht="15.75" thickBot="1" x14ac:dyDescent="0.3">
      <c r="E22" s="36" t="s">
        <v>32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8"/>
    </row>
    <row r="23" spans="5:20" x14ac:dyDescent="0.25">
      <c r="E23" s="18" t="s">
        <v>17</v>
      </c>
      <c r="F23" s="10">
        <f>ws_direct_ads_vol_w_pTpsatRho(F3,F4,F7,F8,$C$3,$C$4,$C$5,$C$7,$C$8,$C$9,$C$10,$C$11,$C$12)</f>
        <v>0.4315811620595168</v>
      </c>
      <c r="G23" s="10">
        <f t="shared" ref="G23:T23" si="12">ws_direct_ads_vol_w_pTpsatRho(G3,G4,G7,G8,$C$3,$C$4,$C$5,$C$7,$C$8,$C$9,$C$10,$C$11,$C$12)</f>
        <v>0.44506475997507899</v>
      </c>
      <c r="H23" s="10">
        <f t="shared" si="12"/>
        <v>0.45286794137807024</v>
      </c>
      <c r="I23" s="10">
        <f t="shared" si="12"/>
        <v>0.2307613791287306</v>
      </c>
      <c r="J23" s="10">
        <f t="shared" si="12"/>
        <v>0.30515819137470657</v>
      </c>
      <c r="K23" s="10">
        <f t="shared" si="12"/>
        <v>0.35249957114928931</v>
      </c>
      <c r="L23" s="10">
        <f t="shared" si="12"/>
        <v>7.3512044448355462E-2</v>
      </c>
      <c r="M23" s="10">
        <f t="shared" si="12"/>
        <v>9.1186744596447225E-2</v>
      </c>
      <c r="N23" s="10">
        <f t="shared" si="12"/>
        <v>0.11147328840507696</v>
      </c>
      <c r="O23" s="10">
        <f t="shared" si="12"/>
        <v>4.1734078357200138E-2</v>
      </c>
      <c r="P23" s="10">
        <f t="shared" si="12"/>
        <v>4.7133524497013475E-2</v>
      </c>
      <c r="Q23" s="10">
        <f t="shared" si="12"/>
        <v>5.2482399733871372E-2</v>
      </c>
      <c r="R23" s="10">
        <f t="shared" si="12"/>
        <v>2.9568490139865365E-2</v>
      </c>
      <c r="S23" s="10">
        <f t="shared" si="12"/>
        <v>3.216766710320787E-2</v>
      </c>
      <c r="T23" s="11">
        <f t="shared" si="12"/>
        <v>3.4573506101169188E-2</v>
      </c>
    </row>
    <row r="24" spans="5:20" x14ac:dyDescent="0.25">
      <c r="E24" s="19" t="s">
        <v>18</v>
      </c>
      <c r="F24" s="12">
        <f>ws_direct_ads_vol_p_wTpsatRho(F23,F4,F7,F8,$C$3,$C$4,$C$5,$C$7,$C$8,$C$9,$C$10,$C$11,$C$12)</f>
        <v>1499.9999999999993</v>
      </c>
      <c r="G24" s="12">
        <f t="shared" ref="G24:T24" si="13">ws_direct_ads_vol_p_wTpsatRho(G23,G4,G7,G8,$C$3,$C$4,$C$5,$C$7,$C$8,$C$9,$C$10,$C$11,$C$12)</f>
        <v>2000.0000000000009</v>
      </c>
      <c r="H24" s="12">
        <f t="shared" si="13"/>
        <v>2500.0000000000018</v>
      </c>
      <c r="I24" s="12">
        <f t="shared" si="13"/>
        <v>1500</v>
      </c>
      <c r="J24" s="12">
        <f t="shared" si="13"/>
        <v>1999.9999999999995</v>
      </c>
      <c r="K24" s="12">
        <f t="shared" si="13"/>
        <v>2500.0000000000005</v>
      </c>
      <c r="L24" s="12">
        <f t="shared" si="13"/>
        <v>1499.9999999999995</v>
      </c>
      <c r="M24" s="12">
        <f t="shared" si="13"/>
        <v>1999.9999999999995</v>
      </c>
      <c r="N24" s="12">
        <f t="shared" si="13"/>
        <v>2499.9999999999991</v>
      </c>
      <c r="O24" s="12">
        <f t="shared" si="13"/>
        <v>1500.0000000000002</v>
      </c>
      <c r="P24" s="12">
        <f t="shared" si="13"/>
        <v>1999.9999999999982</v>
      </c>
      <c r="Q24" s="12">
        <f t="shared" si="13"/>
        <v>2499.9999999999986</v>
      </c>
      <c r="R24" s="12">
        <f t="shared" si="13"/>
        <v>1499.999999999998</v>
      </c>
      <c r="S24" s="12">
        <f t="shared" si="13"/>
        <v>1999.9999999999968</v>
      </c>
      <c r="T24" s="13">
        <f t="shared" si="13"/>
        <v>2499.9999999999982</v>
      </c>
    </row>
    <row r="25" spans="5:20" x14ac:dyDescent="0.25">
      <c r="E25" s="21" t="s">
        <v>19</v>
      </c>
      <c r="F25" s="22">
        <f>ws_direct_ads_vol_T_pwpsatRho(F3,F23,F7,F8,$C$3,$C$4,$C$5,$C$7,$C$8,$C$9,$C$10,$C$11,$C$12)</f>
        <v>283</v>
      </c>
      <c r="G25" s="22">
        <f t="shared" ref="G25:T25" si="14">ws_direct_ads_vol_T_pwpsatRho(G3,G23,G7,G8,$C$3,$C$4,$C$5,$C$7,$C$8,$C$9,$C$10,$C$11,$C$12)</f>
        <v>283.00000000000017</v>
      </c>
      <c r="H25" s="22">
        <f t="shared" si="14"/>
        <v>283.00000000000006</v>
      </c>
      <c r="I25" s="22">
        <f t="shared" si="14"/>
        <v>303.00000000000006</v>
      </c>
      <c r="J25" s="22">
        <f t="shared" si="14"/>
        <v>303</v>
      </c>
      <c r="K25" s="22">
        <f t="shared" si="14"/>
        <v>303</v>
      </c>
      <c r="L25" s="22">
        <f t="shared" si="14"/>
        <v>322.99999999999983</v>
      </c>
      <c r="M25" s="22">
        <f t="shared" si="14"/>
        <v>323</v>
      </c>
      <c r="N25" s="22">
        <f t="shared" si="14"/>
        <v>323</v>
      </c>
      <c r="O25" s="22">
        <f t="shared" si="14"/>
        <v>343</v>
      </c>
      <c r="P25" s="22">
        <f t="shared" si="14"/>
        <v>343</v>
      </c>
      <c r="Q25" s="22">
        <f t="shared" si="14"/>
        <v>343</v>
      </c>
      <c r="R25" s="22">
        <f t="shared" si="14"/>
        <v>363</v>
      </c>
      <c r="S25" s="22">
        <f t="shared" si="14"/>
        <v>363.00000000000006</v>
      </c>
      <c r="T25" s="23">
        <f t="shared" si="14"/>
        <v>363.00000000000006</v>
      </c>
    </row>
    <row r="26" spans="5:20" x14ac:dyDescent="0.25">
      <c r="E26" s="19" t="s">
        <v>20</v>
      </c>
      <c r="F26" s="14">
        <f>ws_direct_ads_vol_dw_dp_pTpsatRho(F3,F4,F7,F8,$C$3,$C$4,$C$5,$C$7,$C$8,$C$9,$C$10,$C$11,$C$12)</f>
        <v>3.7098455720381194E-5</v>
      </c>
      <c r="G26" s="14">
        <f t="shared" ref="G26:T26" si="15">ws_direct_ads_vol_dw_dp_pTpsatRho(G3,G4,G7,G8,$C$3,$C$4,$C$5,$C$7,$C$8,$C$9,$C$10,$C$11,$C$12)</f>
        <v>1.9692386889377767E-5</v>
      </c>
      <c r="H26" s="14">
        <f t="shared" si="15"/>
        <v>1.2409891083668034E-5</v>
      </c>
      <c r="I26" s="14">
        <f t="shared" si="15"/>
        <v>1.7194660614660019E-4</v>
      </c>
      <c r="J26" s="14">
        <f t="shared" si="15"/>
        <v>1.2065284713356991E-4</v>
      </c>
      <c r="K26" s="14">
        <f t="shared" si="15"/>
        <v>7.2479288895799314E-5</v>
      </c>
      <c r="L26" s="14">
        <f t="shared" si="15"/>
        <v>3.3186994945289395E-5</v>
      </c>
      <c r="M26" s="14">
        <f t="shared" si="15"/>
        <v>3.7758226919389962E-5</v>
      </c>
      <c r="N26" s="14">
        <f t="shared" si="15"/>
        <v>4.3543525146569716E-5</v>
      </c>
      <c r="O26" s="14">
        <f t="shared" si="15"/>
        <v>1.0974831694352457E-5</v>
      </c>
      <c r="P26" s="14">
        <f t="shared" si="15"/>
        <v>1.0695088136018493E-5</v>
      </c>
      <c r="Q26" s="14">
        <f t="shared" si="15"/>
        <v>1.0740777054707362E-5</v>
      </c>
      <c r="R26" s="14">
        <f t="shared" si="15"/>
        <v>5.4727403891912109E-6</v>
      </c>
      <c r="S26" s="14">
        <f t="shared" si="15"/>
        <v>4.9714118629958537E-6</v>
      </c>
      <c r="T26" s="15">
        <f t="shared" si="15"/>
        <v>4.6760613670486707E-6</v>
      </c>
    </row>
    <row r="27" spans="5:20" x14ac:dyDescent="0.25">
      <c r="E27" s="21" t="s">
        <v>23</v>
      </c>
      <c r="F27" s="22">
        <f>ws_direct_ads_vol_dw_dT_pTpsatRho(F3,F4,F7,F8,F10,F11,$C$3,$C$4,$C$5,$C$7,$C$8,$C$9,$C$10,$C$11,$C$12)</f>
        <v>-3.7289546822373769E-3</v>
      </c>
      <c r="G27" s="22">
        <f t="shared" ref="G27:T27" si="16">ws_direct_ads_vol_dw_dT_pTpsatRho(G3,G4,G7,G8,G10,G11,$C$3,$C$4,$C$5,$C$7,$C$8,$C$9,$C$10,$C$11,$C$12)</f>
        <v>-2.6111048946365215E-3</v>
      </c>
      <c r="H27" s="22">
        <f t="shared" si="16"/>
        <v>-2.041158755624709E-3</v>
      </c>
      <c r="I27" s="22">
        <f t="shared" si="16"/>
        <v>-1.5771512302103875E-2</v>
      </c>
      <c r="J27" s="22">
        <f t="shared" si="16"/>
        <v>-1.4553413369414356E-2</v>
      </c>
      <c r="K27" s="22">
        <f t="shared" si="16"/>
        <v>-1.0832063178685193E-2</v>
      </c>
      <c r="L27" s="22">
        <f t="shared" si="16"/>
        <v>-2.8302517329567485E-3</v>
      </c>
      <c r="M27" s="22">
        <f t="shared" si="16"/>
        <v>-4.2169191259371188E-3</v>
      </c>
      <c r="N27" s="22">
        <f t="shared" si="16"/>
        <v>-5.9944674209559037E-3</v>
      </c>
      <c r="O27" s="22">
        <f t="shared" si="16"/>
        <v>-8.823199856357461E-4</v>
      </c>
      <c r="P27" s="22">
        <f t="shared" si="16"/>
        <v>-1.1243676268766628E-3</v>
      </c>
      <c r="Q27" s="22">
        <f t="shared" si="16"/>
        <v>-1.3900999594225871E-3</v>
      </c>
      <c r="R27" s="22">
        <f t="shared" si="16"/>
        <v>-4.1943434609237573E-4</v>
      </c>
      <c r="S27" s="22">
        <f t="shared" si="16"/>
        <v>-4.9760496031260896E-4</v>
      </c>
      <c r="T27" s="23">
        <f t="shared" si="16"/>
        <v>-5.7561183499053132E-4</v>
      </c>
    </row>
    <row r="28" spans="5:20" x14ac:dyDescent="0.25">
      <c r="E28" s="19" t="s">
        <v>22</v>
      </c>
      <c r="F28" s="12">
        <f>ws_direct_ads_vol_dp_dw_wTpsatRho(F23,F4,F7,F8,$C$3,$C$4,$C$5,$C$7,$C$8,$C$9,$C$10,$C$11,$C$12)</f>
        <v>26955.299906206543</v>
      </c>
      <c r="G28" s="12">
        <f t="shared" ref="G28:T28" si="17">ws_direct_ads_vol_dp_dw_wTpsatRho(G23,G4,G7,G8,$C$3,$C$4,$C$5,$C$7,$C$8,$C$9,$C$10,$C$11,$C$12)</f>
        <v>50781.045772537058</v>
      </c>
      <c r="H28" s="12">
        <f t="shared" si="17"/>
        <v>80580.884494308208</v>
      </c>
      <c r="I28" s="12">
        <f t="shared" si="17"/>
        <v>5815.7588707939303</v>
      </c>
      <c r="J28" s="12">
        <f t="shared" si="17"/>
        <v>8288.2420411757012</v>
      </c>
      <c r="K28" s="12">
        <f t="shared" si="17"/>
        <v>13797.044855636788</v>
      </c>
      <c r="L28" s="12">
        <f t="shared" si="17"/>
        <v>30132.285301774238</v>
      </c>
      <c r="M28" s="12">
        <f t="shared" si="17"/>
        <v>26484.294459453835</v>
      </c>
      <c r="N28" s="12">
        <f t="shared" si="17"/>
        <v>22965.526944223024</v>
      </c>
      <c r="O28" s="12">
        <f t="shared" si="17"/>
        <v>91117.570442067969</v>
      </c>
      <c r="P28" s="12">
        <f t="shared" si="17"/>
        <v>93500.865750908502</v>
      </c>
      <c r="Q28" s="12">
        <f t="shared" si="17"/>
        <v>93103.133498309558</v>
      </c>
      <c r="R28" s="12">
        <f t="shared" si="17"/>
        <v>182723.81455824623</v>
      </c>
      <c r="S28" s="12">
        <f t="shared" si="17"/>
        <v>201150.1013310499</v>
      </c>
      <c r="T28" s="13">
        <f t="shared" si="17"/>
        <v>213855.19168905978</v>
      </c>
    </row>
    <row r="29" spans="5:20" x14ac:dyDescent="0.25">
      <c r="E29" s="21" t="s">
        <v>21</v>
      </c>
      <c r="F29" s="28">
        <f>ws_direct_ads_vol_dp_dT_wTpsatRho(F23,F4,F7,F8,F10,F11,$C$3,$C$4,$C$5,$C$7,$C$8,$C$9,$C$10,$C$11,$C$12)</f>
        <v>100.51509179636169</v>
      </c>
      <c r="G29" s="28">
        <f t="shared" ref="G29:T29" si="18">ws_direct_ads_vol_dp_dT_wTpsatRho(G23,G4,G7,G8,G10,G11,$C$3,$C$4,$C$5,$C$7,$C$8,$C$9,$C$10,$C$11,$C$12)</f>
        <v>132.59463717143268</v>
      </c>
      <c r="H29" s="28">
        <f t="shared" si="18"/>
        <v>164.47837792154081</v>
      </c>
      <c r="I29" s="28">
        <f t="shared" si="18"/>
        <v>91.723312576796204</v>
      </c>
      <c r="J29" s="28">
        <f t="shared" si="18"/>
        <v>120.62221253098862</v>
      </c>
      <c r="K29" s="28">
        <f t="shared" si="18"/>
        <v>149.45046155541115</v>
      </c>
      <c r="L29" s="28">
        <f t="shared" si="18"/>
        <v>85.281952693293718</v>
      </c>
      <c r="M29" s="28">
        <f t="shared" si="18"/>
        <v>111.68212784302131</v>
      </c>
      <c r="N29" s="28">
        <f t="shared" si="18"/>
        <v>137.66610307222987</v>
      </c>
      <c r="O29" s="28">
        <f t="shared" si="18"/>
        <v>80.394853443609463</v>
      </c>
      <c r="P29" s="28">
        <f t="shared" si="18"/>
        <v>105.12934653526239</v>
      </c>
      <c r="Q29" s="28">
        <f t="shared" si="18"/>
        <v>129.42266209811581</v>
      </c>
      <c r="R29" s="28">
        <f t="shared" si="18"/>
        <v>76.640643674742478</v>
      </c>
      <c r="S29" s="28">
        <f t="shared" si="18"/>
        <v>100.09328818971424</v>
      </c>
      <c r="T29" s="29">
        <f t="shared" si="18"/>
        <v>123.0975793103914</v>
      </c>
    </row>
    <row r="30" spans="5:20" x14ac:dyDescent="0.25">
      <c r="E30" s="19" t="s">
        <v>35</v>
      </c>
      <c r="F30" s="26">
        <f>8.314*F4*LN(F7/F3)</f>
        <v>-494.20473336754793</v>
      </c>
      <c r="G30" s="26">
        <f t="shared" ref="G30:T30" si="19">8.314*G4*LN(G7/G3)</f>
        <v>-1171.0809497205898</v>
      </c>
      <c r="H30" s="26">
        <f t="shared" si="19"/>
        <v>-1696.1069321528444</v>
      </c>
      <c r="I30" s="26">
        <f t="shared" si="19"/>
        <v>2600.038884026198</v>
      </c>
      <c r="J30" s="26">
        <f t="shared" si="19"/>
        <v>1875.3268926658739</v>
      </c>
      <c r="K30" s="26">
        <f t="shared" si="19"/>
        <v>1313.1966005210929</v>
      </c>
      <c r="L30" s="26">
        <f t="shared" si="19"/>
        <v>5641.9218183196617</v>
      </c>
      <c r="M30" s="26">
        <f t="shared" si="19"/>
        <v>4869.3740519520543</v>
      </c>
      <c r="N30" s="26">
        <f t="shared" si="19"/>
        <v>4270.1394500947463</v>
      </c>
      <c r="O30" s="26">
        <f t="shared" si="19"/>
        <v>8636.4740640155906</v>
      </c>
      <c r="P30" s="26">
        <f t="shared" si="19"/>
        <v>7816.0905226407021</v>
      </c>
      <c r="Q30" s="26">
        <f t="shared" si="19"/>
        <v>7179.7516110708675</v>
      </c>
      <c r="R30" s="26">
        <f t="shared" si="19"/>
        <v>11588.860701807538</v>
      </c>
      <c r="S30" s="26">
        <f t="shared" si="19"/>
        <v>10720.641385425366</v>
      </c>
      <c r="T30" s="27">
        <f t="shared" si="19"/>
        <v>10047.198164143005</v>
      </c>
    </row>
    <row r="31" spans="5:20" x14ac:dyDescent="0.25">
      <c r="E31" s="19" t="s">
        <v>36</v>
      </c>
      <c r="F31" s="26">
        <f>ws_direct_ads_vol_W_ARho(F30,F8,$C$3,$C$4,$C$5,$C$7,$C$8,$C$9,$C$10,$C$11,$C$12)</f>
        <v>4.3172532276459943E-4</v>
      </c>
      <c r="G31" s="26">
        <f t="shared" ref="G31:T31" si="20">ws_direct_ads_vol_W_ARho(G30,G8,$C$3,$C$4,$C$5,$C$7,$C$8,$C$9,$C$10,$C$11,$C$12)</f>
        <v>4.4521300436466078E-4</v>
      </c>
      <c r="H31" s="26">
        <f t="shared" si="20"/>
        <v>4.5301865027164297E-4</v>
      </c>
      <c r="I31" s="26">
        <f t="shared" si="20"/>
        <v>2.3178510922245883E-4</v>
      </c>
      <c r="J31" s="26">
        <f t="shared" si="20"/>
        <v>3.0650233399982574E-4</v>
      </c>
      <c r="K31" s="26">
        <f t="shared" si="20"/>
        <v>3.5404592231198318E-4</v>
      </c>
      <c r="L31" s="26">
        <f t="shared" si="20"/>
        <v>7.440638175089971E-5</v>
      </c>
      <c r="M31" s="26">
        <f t="shared" si="20"/>
        <v>9.229651531744346E-5</v>
      </c>
      <c r="N31" s="26">
        <f t="shared" si="20"/>
        <v>1.1283027383021926E-4</v>
      </c>
      <c r="O31" s="26">
        <f t="shared" si="20"/>
        <v>4.2683875625468832E-5</v>
      </c>
      <c r="P31" s="26">
        <f t="shared" si="20"/>
        <v>4.8206336128575053E-5</v>
      </c>
      <c r="Q31" s="26">
        <f t="shared" si="20"/>
        <v>5.3677090052871215E-5</v>
      </c>
      <c r="R31" s="26">
        <f t="shared" si="20"/>
        <v>3.0630300277436376E-5</v>
      </c>
      <c r="S31" s="26">
        <f t="shared" si="20"/>
        <v>3.3322873329984302E-5</v>
      </c>
      <c r="T31" s="27">
        <f t="shared" si="20"/>
        <v>3.5815166047209099E-5</v>
      </c>
    </row>
    <row r="32" spans="5:20" x14ac:dyDescent="0.25">
      <c r="E32" s="19" t="s">
        <v>38</v>
      </c>
      <c r="F32" s="26">
        <f>ws_direct_ads_vol_dA_dW_WRho(F31,F8,$C$3,$C$4,$C$5,$C$7,$C$8,$C$9,$C$10,$C$11,$C$12)</f>
        <v>-42268936.70871307</v>
      </c>
      <c r="G32" s="26">
        <f t="shared" ref="G32:T32" si="21">ws_direct_ads_vol_dA_dW_WRho(G31,G8,$C$3,$C$4,$C$5,$C$7,$C$8,$C$9,$C$10,$C$11,$C$12)</f>
        <v>-59721822.493324943</v>
      </c>
      <c r="H32" s="26">
        <f t="shared" si="21"/>
        <v>-75813967.702950627</v>
      </c>
      <c r="I32" s="26">
        <f t="shared" si="21"/>
        <v>-9724884.1303398721</v>
      </c>
      <c r="J32" s="26">
        <f t="shared" si="21"/>
        <v>-10395168.653113304</v>
      </c>
      <c r="K32" s="26">
        <f t="shared" si="21"/>
        <v>-13843555.16529822</v>
      </c>
      <c r="L32" s="26">
        <f t="shared" si="21"/>
        <v>-53295687.600715198</v>
      </c>
      <c r="M32" s="26">
        <f t="shared" si="21"/>
        <v>-35132539.639762528</v>
      </c>
      <c r="N32" s="26">
        <f t="shared" si="21"/>
        <v>-24371937.13828953</v>
      </c>
      <c r="O32" s="26">
        <f t="shared" si="21"/>
        <v>-169368376.8822104</v>
      </c>
      <c r="P32" s="26">
        <f t="shared" si="21"/>
        <v>-130348393.79159068</v>
      </c>
      <c r="Q32" s="26">
        <f t="shared" si="21"/>
        <v>-103834847.21661158</v>
      </c>
      <c r="R32" s="26">
        <f t="shared" si="21"/>
        <v>-354886389.19552791</v>
      </c>
      <c r="S32" s="26">
        <f t="shared" si="21"/>
        <v>-293004854.56237662</v>
      </c>
      <c r="T32" s="27">
        <f t="shared" si="21"/>
        <v>-249208903.02246371</v>
      </c>
    </row>
    <row r="33" spans="5:20" ht="15.75" thickBot="1" x14ac:dyDescent="0.3">
      <c r="E33" s="20" t="s">
        <v>37</v>
      </c>
      <c r="F33" s="16">
        <f>ws_direct_ads_vol_dW_dA_ARho(F30,F8,$C$3,$C$4,$C$5,$C$7,$C$8,$C$9,$C$10,$C$11,$C$12)</f>
        <v>-2.3658035376931204E-8</v>
      </c>
      <c r="G33" s="16">
        <f t="shared" ref="G33:T33" si="22">ws_direct_ads_vol_dW_dA_ARho(G30,G8,$C$3,$C$4,$C$5,$C$7,$C$8,$C$9,$C$10,$C$11,$C$12)</f>
        <v>-1.6744298118359788E-8</v>
      </c>
      <c r="H33" s="16">
        <f t="shared" si="22"/>
        <v>-1.3190181576014278E-8</v>
      </c>
      <c r="I33" s="16">
        <f t="shared" si="22"/>
        <v>-1.0282898866426408E-7</v>
      </c>
      <c r="J33" s="16">
        <f t="shared" si="22"/>
        <v>-9.6198535432179338E-8</v>
      </c>
      <c r="K33" s="16">
        <f t="shared" si="22"/>
        <v>-7.2235779614380384E-8</v>
      </c>
      <c r="L33" s="16">
        <f t="shared" si="22"/>
        <v>-1.8763244176374609E-8</v>
      </c>
      <c r="M33" s="16">
        <f t="shared" si="22"/>
        <v>-2.8463641121697188E-8</v>
      </c>
      <c r="N33" s="16">
        <f t="shared" si="22"/>
        <v>-4.1030796785904637E-8</v>
      </c>
      <c r="O33" s="16">
        <f t="shared" si="22"/>
        <v>-5.9042899176831826E-9</v>
      </c>
      <c r="P33" s="16">
        <f t="shared" si="22"/>
        <v>-7.6717477746512501E-9</v>
      </c>
      <c r="Q33" s="16">
        <f t="shared" si="22"/>
        <v>-9.6306782049178918E-9</v>
      </c>
      <c r="R33" s="16">
        <f t="shared" si="22"/>
        <v>-2.8178031912321123E-9</v>
      </c>
      <c r="S33" s="16">
        <f t="shared" si="22"/>
        <v>-3.412912736526395E-9</v>
      </c>
      <c r="T33" s="17">
        <f t="shared" si="22"/>
        <v>-4.0126977321908127E-9</v>
      </c>
    </row>
  </sheetData>
  <mergeCells count="5">
    <mergeCell ref="B2:C2"/>
    <mergeCell ref="E2:T2"/>
    <mergeCell ref="E13:T13"/>
    <mergeCell ref="E6:T6"/>
    <mergeCell ref="E22:T2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1:T20"/>
  <sheetViews>
    <sheetView zoomScale="85" zoomScaleNormal="85" workbookViewId="0">
      <selection activeCell="G27" sqref="G27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37.5703125" customWidth="1"/>
    <col min="6" max="14" width="12.85546875" bestFit="1" customWidth="1"/>
    <col min="15" max="15" width="11.85546875" bestFit="1" customWidth="1"/>
    <col min="16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39</v>
      </c>
      <c r="E3" s="3" t="s">
        <v>7</v>
      </c>
      <c r="F3" s="30">
        <v>25000</v>
      </c>
      <c r="G3" s="6">
        <v>26000</v>
      </c>
      <c r="H3" s="6">
        <v>27000</v>
      </c>
      <c r="I3" s="6">
        <v>25000</v>
      </c>
      <c r="J3" s="6">
        <v>26000</v>
      </c>
      <c r="K3" s="6">
        <v>27000</v>
      </c>
      <c r="L3" s="6">
        <v>25000</v>
      </c>
      <c r="M3" s="6">
        <v>26000</v>
      </c>
      <c r="N3" s="6">
        <v>27000</v>
      </c>
      <c r="O3" s="6">
        <v>25000</v>
      </c>
      <c r="P3" s="6">
        <v>26000</v>
      </c>
      <c r="Q3" s="6">
        <v>27000</v>
      </c>
      <c r="R3" s="6">
        <v>25000</v>
      </c>
      <c r="S3" s="6">
        <v>26000</v>
      </c>
      <c r="T3" s="7">
        <v>27000</v>
      </c>
    </row>
    <row r="4" spans="2:20" ht="15.75" thickBot="1" x14ac:dyDescent="0.3">
      <c r="B4" s="4" t="s">
        <v>10</v>
      </c>
      <c r="C4" s="1"/>
      <c r="E4" s="5" t="s">
        <v>8</v>
      </c>
      <c r="F4" s="8">
        <v>373</v>
      </c>
      <c r="G4" s="8">
        <v>373</v>
      </c>
      <c r="H4" s="8">
        <v>373</v>
      </c>
      <c r="I4" s="8">
        <v>393</v>
      </c>
      <c r="J4" s="8">
        <v>393</v>
      </c>
      <c r="K4" s="8">
        <v>393</v>
      </c>
      <c r="L4" s="8">
        <v>413</v>
      </c>
      <c r="M4" s="8">
        <v>413</v>
      </c>
      <c r="N4" s="8">
        <v>413</v>
      </c>
      <c r="O4" s="8">
        <v>433</v>
      </c>
      <c r="P4" s="8">
        <v>433</v>
      </c>
      <c r="Q4" s="8">
        <v>433</v>
      </c>
      <c r="R4" s="8">
        <v>453</v>
      </c>
      <c r="S4" s="8">
        <v>453</v>
      </c>
      <c r="T4" s="9">
        <v>453</v>
      </c>
    </row>
    <row r="5" spans="2:20" ht="15.75" thickBot="1" x14ac:dyDescent="0.3">
      <c r="B5" s="4" t="s">
        <v>11</v>
      </c>
      <c r="C5" s="1" t="s">
        <v>3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40</v>
      </c>
      <c r="E7" s="18" t="s">
        <v>24</v>
      </c>
      <c r="F7" s="24">
        <f>ws_direct_ref_p_sat_T(F4,$C$3,$C$4,$C$5,$C$7,$C$8,$C$9,$C$10,$C$11,$C$12)</f>
        <v>100876.31253941388</v>
      </c>
      <c r="G7" s="24">
        <f t="shared" ref="G7:T7" si="0">ws_direct_ref_p_sat_T(G4,$C$3,$C$4,$C$5,$C$7,$C$8,$C$9,$C$10,$C$11,$C$12)</f>
        <v>100876.31253941388</v>
      </c>
      <c r="H7" s="24">
        <f t="shared" si="0"/>
        <v>100876.31253941388</v>
      </c>
      <c r="I7" s="24">
        <f t="shared" si="0"/>
        <v>197729.4166920745</v>
      </c>
      <c r="J7" s="24">
        <f t="shared" si="0"/>
        <v>197729.4166920745</v>
      </c>
      <c r="K7" s="24">
        <f t="shared" si="0"/>
        <v>197729.4166920745</v>
      </c>
      <c r="L7" s="24">
        <f t="shared" si="0"/>
        <v>360001.74072088476</v>
      </c>
      <c r="M7" s="24">
        <f t="shared" si="0"/>
        <v>360001.74072088476</v>
      </c>
      <c r="N7" s="24">
        <f t="shared" si="0"/>
        <v>360001.74072088476</v>
      </c>
      <c r="O7" s="24">
        <f t="shared" si="0"/>
        <v>615874.66293330095</v>
      </c>
      <c r="P7" s="24">
        <f t="shared" si="0"/>
        <v>615874.66293330095</v>
      </c>
      <c r="Q7" s="24">
        <f t="shared" si="0"/>
        <v>615874.66293330095</v>
      </c>
      <c r="R7" s="24">
        <f t="shared" si="0"/>
        <v>999356.45966330112</v>
      </c>
      <c r="S7" s="24">
        <f t="shared" si="0"/>
        <v>999356.45966330112</v>
      </c>
      <c r="T7" s="25">
        <f t="shared" si="0"/>
        <v>999356.45966330112</v>
      </c>
    </row>
    <row r="8" spans="2:20" x14ac:dyDescent="0.25">
      <c r="B8" s="4" t="s">
        <v>6</v>
      </c>
      <c r="C8" s="1">
        <v>1</v>
      </c>
      <c r="E8" s="19" t="s">
        <v>25</v>
      </c>
      <c r="F8" s="26">
        <f>ws_direct_ref_rho_l_T(F4,$C$3,$C$4,$C$5,$C$7,$C$8,$C$9,$C$10,$C$11,$C$12)</f>
        <v>958.45436582917523</v>
      </c>
      <c r="G8" s="26">
        <f t="shared" ref="G8:T8" si="1">ws_direct_ref_rho_l_T(G4,$C$3,$C$4,$C$5,$C$7,$C$8,$C$9,$C$10,$C$11,$C$12)</f>
        <v>958.45436582917523</v>
      </c>
      <c r="H8" s="26">
        <f t="shared" si="1"/>
        <v>958.45436582917523</v>
      </c>
      <c r="I8" s="26">
        <f t="shared" si="1"/>
        <v>943.22836600294454</v>
      </c>
      <c r="J8" s="26">
        <f t="shared" si="1"/>
        <v>943.22836600294454</v>
      </c>
      <c r="K8" s="26">
        <f t="shared" si="1"/>
        <v>943.22836600294454</v>
      </c>
      <c r="L8" s="26">
        <f t="shared" si="1"/>
        <v>926.2700568496648</v>
      </c>
      <c r="M8" s="26">
        <f t="shared" si="1"/>
        <v>926.2700568496648</v>
      </c>
      <c r="N8" s="26">
        <f t="shared" si="1"/>
        <v>926.2700568496648</v>
      </c>
      <c r="O8" s="26">
        <f t="shared" si="1"/>
        <v>907.59760830556684</v>
      </c>
      <c r="P8" s="26">
        <f t="shared" si="1"/>
        <v>907.59760830556684</v>
      </c>
      <c r="Q8" s="26">
        <f t="shared" si="1"/>
        <v>907.59760830556684</v>
      </c>
      <c r="R8" s="26">
        <f t="shared" si="1"/>
        <v>887.16220908563571</v>
      </c>
      <c r="S8" s="26">
        <f t="shared" si="1"/>
        <v>887.16220908563571</v>
      </c>
      <c r="T8" s="27">
        <f t="shared" si="1"/>
        <v>887.16220908563571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373</v>
      </c>
      <c r="G9" s="28">
        <f t="shared" ref="G9:T9" si="2">ws_direct_ref_T_sat_p(G7,$C$3,$C$4,$C$5,$C$7,$C$8,$C$9,$C$10,$C$11,$C$12)</f>
        <v>373</v>
      </c>
      <c r="H9" s="28">
        <f t="shared" si="2"/>
        <v>373</v>
      </c>
      <c r="I9" s="28">
        <f t="shared" si="2"/>
        <v>393</v>
      </c>
      <c r="J9" s="28">
        <f t="shared" si="2"/>
        <v>393</v>
      </c>
      <c r="K9" s="28">
        <f t="shared" si="2"/>
        <v>393</v>
      </c>
      <c r="L9" s="28">
        <f t="shared" si="2"/>
        <v>412.99999999999994</v>
      </c>
      <c r="M9" s="28">
        <f t="shared" si="2"/>
        <v>412.99999999999994</v>
      </c>
      <c r="N9" s="28">
        <f t="shared" si="2"/>
        <v>412.99999999999994</v>
      </c>
      <c r="O9" s="28">
        <f t="shared" si="2"/>
        <v>432.99999999999994</v>
      </c>
      <c r="P9" s="28">
        <f t="shared" si="2"/>
        <v>432.99999999999994</v>
      </c>
      <c r="Q9" s="28">
        <f t="shared" si="2"/>
        <v>432.99999999999994</v>
      </c>
      <c r="R9" s="28">
        <f t="shared" si="2"/>
        <v>453.00000000000006</v>
      </c>
      <c r="S9" s="28">
        <f t="shared" si="2"/>
        <v>453.00000000000006</v>
      </c>
      <c r="T9" s="29">
        <f t="shared" si="2"/>
        <v>453.00000000000006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3603.205952132826</v>
      </c>
      <c r="G10" s="26">
        <f t="shared" ref="G10:T10" si="3">ws_direct_ref_dp_sat_dT_T(G4,$C$3,$C$4,$C$5,$C$7,$C$8,$C$9,$C$10,$C$11,$C$12)</f>
        <v>3603.205952132826</v>
      </c>
      <c r="H10" s="26">
        <f t="shared" si="3"/>
        <v>3603.205952132826</v>
      </c>
      <c r="I10" s="26">
        <f t="shared" si="3"/>
        <v>6267.868292914668</v>
      </c>
      <c r="J10" s="26">
        <f t="shared" si="3"/>
        <v>6267.868292914668</v>
      </c>
      <c r="K10" s="26">
        <f t="shared" si="3"/>
        <v>6267.868292914668</v>
      </c>
      <c r="L10" s="26">
        <f t="shared" si="3"/>
        <v>10194.25467929864</v>
      </c>
      <c r="M10" s="26">
        <f t="shared" si="3"/>
        <v>10194.25467929864</v>
      </c>
      <c r="N10" s="26">
        <f t="shared" si="3"/>
        <v>10194.25467929864</v>
      </c>
      <c r="O10" s="26">
        <f t="shared" si="3"/>
        <v>15676.63364211139</v>
      </c>
      <c r="P10" s="26">
        <f t="shared" si="3"/>
        <v>15676.63364211139</v>
      </c>
      <c r="Q10" s="26">
        <f t="shared" si="3"/>
        <v>15676.63364211139</v>
      </c>
      <c r="R10" s="26">
        <f t="shared" si="3"/>
        <v>23001.952174120132</v>
      </c>
      <c r="S10" s="26">
        <f t="shared" si="3"/>
        <v>23001.952174120132</v>
      </c>
      <c r="T10" s="27">
        <f t="shared" si="3"/>
        <v>23001.952174120132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-0.71678951703703819</v>
      </c>
      <c r="G11" s="16">
        <f t="shared" ref="G11:T11" si="4">ws_direct_ref_drho_l_dT_T(G4,$C$3,$C$4,$C$5,$C$7,$C$8,$C$9,$C$10,$C$11,$C$12)</f>
        <v>-0.71678951703703819</v>
      </c>
      <c r="H11" s="16">
        <f t="shared" si="4"/>
        <v>-0.71678951703703819</v>
      </c>
      <c r="I11" s="16">
        <f t="shared" si="4"/>
        <v>-0.80504845636488531</v>
      </c>
      <c r="J11" s="16">
        <f t="shared" si="4"/>
        <v>-0.80504845636488531</v>
      </c>
      <c r="K11" s="16">
        <f t="shared" si="4"/>
        <v>-0.80504845636488531</v>
      </c>
      <c r="L11" s="16">
        <f t="shared" si="4"/>
        <v>-0.89063768166692137</v>
      </c>
      <c r="M11" s="16">
        <f t="shared" si="4"/>
        <v>-0.89063768166692137</v>
      </c>
      <c r="N11" s="16">
        <f t="shared" si="4"/>
        <v>-0.89063768166692137</v>
      </c>
      <c r="O11" s="16">
        <f t="shared" si="4"/>
        <v>-0.97701126702344399</v>
      </c>
      <c r="P11" s="16">
        <f t="shared" si="4"/>
        <v>-0.97701126702344399</v>
      </c>
      <c r="Q11" s="16">
        <f t="shared" si="4"/>
        <v>-0.97701126702344399</v>
      </c>
      <c r="R11" s="16">
        <f t="shared" si="4"/>
        <v>-1.0675078568753178</v>
      </c>
      <c r="S11" s="16">
        <f t="shared" si="4"/>
        <v>-1.0675078568753178</v>
      </c>
      <c r="T11" s="17">
        <f t="shared" si="4"/>
        <v>-1.0675078568753178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45</v>
      </c>
      <c r="F14" s="10">
        <f t="shared" ref="F14:K14" si="5">ws_direct_abs_con_X_pT(F3,F4,$C$3,$C$4,$C$5,$C$7,$C$8,$C$9,$C$10,$C$11,$C$12)</f>
        <v>0.48980141989769843</v>
      </c>
      <c r="G14" s="10">
        <f t="shared" si="5"/>
        <v>0.4775110506654594</v>
      </c>
      <c r="H14" s="10">
        <f t="shared" si="5"/>
        <v>0.46000415333342376</v>
      </c>
      <c r="I14" s="10">
        <f t="shared" si="5"/>
        <v>0.60168682735666701</v>
      </c>
      <c r="J14" s="10">
        <f t="shared" si="5"/>
        <v>0.59742510020861828</v>
      </c>
      <c r="K14" s="10">
        <f t="shared" si="5"/>
        <v>0.59323309540362867</v>
      </c>
      <c r="L14" s="10">
        <f t="shared" ref="L14:T14" si="6">ws_direct_abs_con_X_pT(L3,L4,$C$3,$C$4,$C$5,$C$7,$C$8,$C$9,$C$10,$C$11,$C$12)</f>
        <v>0.67031265463246525</v>
      </c>
      <c r="M14" s="10">
        <f t="shared" si="6"/>
        <v>0.66692074753626396</v>
      </c>
      <c r="N14" s="10">
        <f t="shared" si="6"/>
        <v>0.66360537223724381</v>
      </c>
      <c r="O14" s="10">
        <f t="shared" si="6"/>
        <v>0.72789059056293315</v>
      </c>
      <c r="P14" s="10">
        <f t="shared" si="6"/>
        <v>0.72498340398866612</v>
      </c>
      <c r="Q14" s="10">
        <f t="shared" si="6"/>
        <v>0.72213755411358149</v>
      </c>
      <c r="R14" s="10">
        <f t="shared" si="6"/>
        <v>0.78036236445352247</v>
      </c>
      <c r="S14" s="10">
        <f t="shared" si="6"/>
        <v>0.77789239616226857</v>
      </c>
      <c r="T14" s="11">
        <f t="shared" si="6"/>
        <v>0.77546394816331488</v>
      </c>
    </row>
    <row r="15" spans="2:20" x14ac:dyDescent="0.25">
      <c r="E15" s="19" t="s">
        <v>18</v>
      </c>
      <c r="F15" s="12">
        <f>ws_direct_abs_con_p_XT(F14,F4,$C$3,$C$4,$C$5,$C$7,$C$8,$C$9,$C$10,$C$11,$C$12)</f>
        <v>24999.999999999993</v>
      </c>
      <c r="G15" s="12">
        <f t="shared" ref="G15:T15" si="7">ws_direct_abs_con_p_XT(G14,G4,$C$3,$C$4,$C$5,$C$7,$C$8,$C$9,$C$10,$C$11,$C$12)</f>
        <v>25999.999999999975</v>
      </c>
      <c r="H15" s="12">
        <f t="shared" si="7"/>
        <v>26999.999999999989</v>
      </c>
      <c r="I15" s="12">
        <f t="shared" si="7"/>
        <v>24999.999999999753</v>
      </c>
      <c r="J15" s="12">
        <f t="shared" si="7"/>
        <v>25999.999999999924</v>
      </c>
      <c r="K15" s="12">
        <f t="shared" si="7"/>
        <v>27000.000000000196</v>
      </c>
      <c r="L15" s="12">
        <f t="shared" si="7"/>
        <v>24999.999999999993</v>
      </c>
      <c r="M15" s="12">
        <f t="shared" si="7"/>
        <v>25999.999999999975</v>
      </c>
      <c r="N15" s="12">
        <f t="shared" si="7"/>
        <v>26999.999999999742</v>
      </c>
      <c r="O15" s="12">
        <f t="shared" si="7"/>
        <v>24999.999999999753</v>
      </c>
      <c r="P15" s="12">
        <f t="shared" si="7"/>
        <v>26000.00000000012</v>
      </c>
      <c r="Q15" s="12">
        <f t="shared" si="7"/>
        <v>26999.999999999989</v>
      </c>
      <c r="R15" s="12">
        <f t="shared" si="7"/>
        <v>24999.999999999993</v>
      </c>
      <c r="S15" s="12">
        <f t="shared" si="7"/>
        <v>26000.00000000012</v>
      </c>
      <c r="T15" s="13">
        <f t="shared" si="7"/>
        <v>26999.999999999796</v>
      </c>
    </row>
    <row r="16" spans="2:20" x14ac:dyDescent="0.25">
      <c r="E16" s="21" t="s">
        <v>19</v>
      </c>
      <c r="F16" s="22">
        <f>ws_direct_abs_con_T_pX(F3,F14,$C$3,$C$4,$C$5,$C$7,$C$8,$C$9,$C$10,$C$11,$C$12)</f>
        <v>373</v>
      </c>
      <c r="G16" s="22">
        <f t="shared" ref="G16:T16" si="8">ws_direct_abs_con_T_pX(G3,G14,$C$3,$C$4,$C$5,$C$7,$C$8,$C$9,$C$10,$C$11,$C$12)</f>
        <v>372.99999999999994</v>
      </c>
      <c r="H16" s="22">
        <f t="shared" si="8"/>
        <v>373</v>
      </c>
      <c r="I16" s="22">
        <f t="shared" si="8"/>
        <v>393.00000000000028</v>
      </c>
      <c r="J16" s="22">
        <f t="shared" si="8"/>
        <v>393.00000000000006</v>
      </c>
      <c r="K16" s="22">
        <f t="shared" si="8"/>
        <v>392.99999999999977</v>
      </c>
      <c r="L16" s="22">
        <f t="shared" si="8"/>
        <v>413</v>
      </c>
      <c r="M16" s="22">
        <f t="shared" si="8"/>
        <v>413.00000000000006</v>
      </c>
      <c r="N16" s="22">
        <f t="shared" si="8"/>
        <v>413.00000000000023</v>
      </c>
      <c r="O16" s="22">
        <f t="shared" si="8"/>
        <v>433.00000000000023</v>
      </c>
      <c r="P16" s="22">
        <f t="shared" si="8"/>
        <v>432.99999999999983</v>
      </c>
      <c r="Q16" s="22">
        <f t="shared" si="8"/>
        <v>433</v>
      </c>
      <c r="R16" s="22">
        <f t="shared" si="8"/>
        <v>453</v>
      </c>
      <c r="S16" s="22">
        <f t="shared" si="8"/>
        <v>452.99999999999989</v>
      </c>
      <c r="T16" s="23">
        <f t="shared" si="8"/>
        <v>453.00000000000023</v>
      </c>
    </row>
    <row r="17" spans="5:20" x14ac:dyDescent="0.25">
      <c r="E17" s="19" t="s">
        <v>46</v>
      </c>
      <c r="F17" s="14">
        <f>ws_direct_abs_con_dX_dp_pT(F3,F4,$C$3,$C$4,$C$5,$C$7,$C$8,$C$9,$C$10,$C$11,$C$12)</f>
        <v>-1.1091552787334535E-5</v>
      </c>
      <c r="G17" s="14">
        <f t="shared" ref="G17:T17" si="9">ws_direct_abs_con_dX_dp_pT(G3,G4,$C$3,$C$4,$C$5,$C$7,$C$8,$C$9,$C$10,$C$11,$C$12)</f>
        <v>-1.3880801869037285E-5</v>
      </c>
      <c r="H17" s="14">
        <f t="shared" si="9"/>
        <v>-2.4173914481284697E-5</v>
      </c>
      <c r="I17" s="14">
        <f t="shared" si="9"/>
        <v>-4.2991297188876842E-6</v>
      </c>
      <c r="J17" s="14">
        <f t="shared" si="9"/>
        <v>-4.2256143584218364E-6</v>
      </c>
      <c r="K17" s="14">
        <f t="shared" si="9"/>
        <v>-4.1596129318755004E-6</v>
      </c>
      <c r="L17" s="14">
        <f t="shared" si="9"/>
        <v>-3.4317424457697143E-6</v>
      </c>
      <c r="M17" s="14">
        <f t="shared" si="9"/>
        <v>-3.3528736453902752E-6</v>
      </c>
      <c r="N17" s="14">
        <f t="shared" si="9"/>
        <v>-3.2786127701633916E-6</v>
      </c>
      <c r="O17" s="14">
        <f t="shared" si="9"/>
        <v>-2.9389001787727409E-6</v>
      </c>
      <c r="P17" s="14">
        <f t="shared" si="9"/>
        <v>-2.8760072101619016E-6</v>
      </c>
      <c r="Q17" s="14">
        <f t="shared" si="9"/>
        <v>-2.8161825649242189E-6</v>
      </c>
      <c r="R17" s="14">
        <f t="shared" si="9"/>
        <v>-2.4913254237368676E-6</v>
      </c>
      <c r="S17" s="14">
        <f t="shared" si="9"/>
        <v>-2.4489167360641773E-6</v>
      </c>
      <c r="T17" s="15">
        <f t="shared" si="9"/>
        <v>-2.4082580374340523E-6</v>
      </c>
    </row>
    <row r="18" spans="5:20" x14ac:dyDescent="0.25">
      <c r="E18" s="21" t="s">
        <v>47</v>
      </c>
      <c r="F18" s="22">
        <f>ws_direct_abs_con_dX_dT_pT(F3,F4,$C$3,$C$4,$C$5,$C$7,$C$8,$C$9,$C$10,$C$11,$C$12)</f>
        <v>1.0689946113223714E-2</v>
      </c>
      <c r="G18" s="22">
        <f t="shared" ref="G18:T18" si="10">ws_direct_abs_con_dX_dT_pT(G3,G4,$C$3,$C$4,$C$5,$C$7,$C$8,$C$9,$C$10,$C$11,$C$12)</f>
        <v>1.3827110144942756E-2</v>
      </c>
      <c r="H18" s="22">
        <f t="shared" si="10"/>
        <v>2.4765282817085232E-2</v>
      </c>
      <c r="I18" s="22">
        <f t="shared" si="10"/>
        <v>3.9302205489533115E-3</v>
      </c>
      <c r="J18" s="22">
        <f t="shared" si="10"/>
        <v>4.0008944617864195E-3</v>
      </c>
      <c r="K18" s="22">
        <f t="shared" si="10"/>
        <v>4.0739629884045669E-3</v>
      </c>
      <c r="L18" s="22">
        <f t="shared" si="10"/>
        <v>3.0783512227072762E-3</v>
      </c>
      <c r="M18" s="22">
        <f t="shared" si="10"/>
        <v>3.1071921413050596E-3</v>
      </c>
      <c r="N18" s="22">
        <f t="shared" si="10"/>
        <v>3.1355011961831103E-3</v>
      </c>
      <c r="O18" s="22">
        <f t="shared" si="10"/>
        <v>2.7222805645821246E-3</v>
      </c>
      <c r="P18" s="22">
        <f t="shared" si="10"/>
        <v>2.7440401157430294E-3</v>
      </c>
      <c r="Q18" s="22">
        <f t="shared" si="10"/>
        <v>2.7648898302534697E-3</v>
      </c>
      <c r="R18" s="22">
        <f t="shared" si="10"/>
        <v>2.5453012504894623E-3</v>
      </c>
      <c r="S18" s="22">
        <f t="shared" si="10"/>
        <v>2.5681334131499867E-3</v>
      </c>
      <c r="T18" s="23">
        <f t="shared" si="10"/>
        <v>2.5899128952566741E-3</v>
      </c>
    </row>
    <row r="19" spans="5:20" x14ac:dyDescent="0.25">
      <c r="E19" s="19" t="s">
        <v>48</v>
      </c>
      <c r="F19" s="12">
        <f>ws_direct_abs_con_dp_dX_XT(F14,F4,$C$3,$C$4,$C$5,$C$7,$C$8,$C$9,$C$10,$C$11,$C$12)</f>
        <v>-90158.700470027601</v>
      </c>
      <c r="G19" s="12">
        <f t="shared" ref="G19:T19" si="11">ws_direct_abs_con_dp_dX_XT(G14,G4,$C$3,$C$4,$C$5,$C$7,$C$8,$C$9,$C$10,$C$11,$C$12)</f>
        <v>-72041.947864525806</v>
      </c>
      <c r="H19" s="12">
        <f t="shared" si="11"/>
        <v>-41366.90481122928</v>
      </c>
      <c r="I19" s="12">
        <f t="shared" si="11"/>
        <v>-232605.20200547774</v>
      </c>
      <c r="J19" s="12">
        <f t="shared" si="11"/>
        <v>-236652.00079596875</v>
      </c>
      <c r="K19" s="12">
        <f t="shared" si="11"/>
        <v>-240406.9812951913</v>
      </c>
      <c r="L19" s="12">
        <f t="shared" si="11"/>
        <v>-291397.14832401264</v>
      </c>
      <c r="M19" s="12">
        <f t="shared" si="11"/>
        <v>-298251.64094257134</v>
      </c>
      <c r="N19" s="12">
        <f t="shared" si="11"/>
        <v>-305007.0592265536</v>
      </c>
      <c r="O19" s="12">
        <f t="shared" si="11"/>
        <v>-340263.35888901271</v>
      </c>
      <c r="P19" s="12">
        <f t="shared" si="11"/>
        <v>-347704.31366120523</v>
      </c>
      <c r="Q19" s="12">
        <f t="shared" si="11"/>
        <v>-355090.56925149512</v>
      </c>
      <c r="R19" s="12">
        <f t="shared" si="11"/>
        <v>-401392.76244159328</v>
      </c>
      <c r="S19" s="12">
        <f t="shared" si="11"/>
        <v>-408343.84108764696</v>
      </c>
      <c r="T19" s="13">
        <f t="shared" si="11"/>
        <v>-415237.91229291074</v>
      </c>
    </row>
    <row r="20" spans="5:20" ht="15.75" thickBot="1" x14ac:dyDescent="0.3">
      <c r="E20" s="20" t="s">
        <v>21</v>
      </c>
      <c r="F20" s="16">
        <f>ws_direct_abs_con_dp_dT_XT(F14,F4,$C$3,$C$4,$C$5,$C$7,$C$8,$C$9,$C$10,$C$11,$C$12)</f>
        <v>963.79163076279212</v>
      </c>
      <c r="G20" s="16">
        <f t="shared" ref="G20:T20" si="12">ws_direct_abs_con_dp_dT_XT(G14,G4,$C$3,$C$4,$C$5,$C$7,$C$8,$C$9,$C$10,$C$11,$C$12)</f>
        <v>996.13188953259203</v>
      </c>
      <c r="H20" s="16">
        <f t="shared" si="12"/>
        <v>1024.4624152166643</v>
      </c>
      <c r="I20" s="16">
        <f t="shared" si="12"/>
        <v>914.18974454072247</v>
      </c>
      <c r="J20" s="16">
        <f t="shared" si="12"/>
        <v>946.81967920879663</v>
      </c>
      <c r="K20" s="16">
        <f t="shared" si="12"/>
        <v>979.40914376862247</v>
      </c>
      <c r="L20" s="16">
        <f t="shared" si="12"/>
        <v>897.02276785736194</v>
      </c>
      <c r="M20" s="16">
        <f t="shared" si="12"/>
        <v>926.72515487771227</v>
      </c>
      <c r="N20" s="16">
        <f t="shared" si="12"/>
        <v>956.34999905554037</v>
      </c>
      <c r="O20" s="16">
        <f t="shared" si="12"/>
        <v>926.29232874083982</v>
      </c>
      <c r="P20" s="16">
        <f t="shared" si="12"/>
        <v>954.11458510044724</v>
      </c>
      <c r="Q20" s="16">
        <f t="shared" si="12"/>
        <v>981.78630370693145</v>
      </c>
      <c r="R20" s="16">
        <f t="shared" si="12"/>
        <v>1021.6655003467383</v>
      </c>
      <c r="S20" s="16">
        <f t="shared" si="12"/>
        <v>1048.6814623137291</v>
      </c>
      <c r="T20" s="17">
        <f t="shared" si="12"/>
        <v>1075.4300237706861</v>
      </c>
    </row>
  </sheetData>
  <mergeCells count="4">
    <mergeCell ref="B2:C2"/>
    <mergeCell ref="E2:T2"/>
    <mergeCell ref="E6:T6"/>
    <mergeCell ref="E13:T1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1:T18"/>
  <sheetViews>
    <sheetView zoomScale="85" zoomScaleNormal="85" workbookViewId="0">
      <selection activeCell="B16" sqref="B16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37.5703125" customWidth="1"/>
    <col min="6" max="14" width="12.85546875" bestFit="1" customWidth="1"/>
    <col min="15" max="15" width="11.85546875" bestFit="1" customWidth="1"/>
    <col min="16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43</v>
      </c>
      <c r="E3" s="3" t="s">
        <v>7</v>
      </c>
      <c r="F3" s="30">
        <v>500000</v>
      </c>
      <c r="G3" s="6">
        <v>550000</v>
      </c>
      <c r="H3" s="6">
        <v>600000</v>
      </c>
      <c r="I3" s="6">
        <v>500000</v>
      </c>
      <c r="J3" s="6">
        <v>550000</v>
      </c>
      <c r="K3" s="6">
        <v>600000</v>
      </c>
      <c r="L3" s="6">
        <v>500000</v>
      </c>
      <c r="M3" s="6">
        <v>550000</v>
      </c>
      <c r="N3" s="6">
        <v>600000</v>
      </c>
      <c r="O3" s="6">
        <v>500000</v>
      </c>
      <c r="P3" s="6">
        <v>550000</v>
      </c>
      <c r="Q3" s="6">
        <v>600000</v>
      </c>
      <c r="R3" s="6">
        <v>500000</v>
      </c>
      <c r="S3" s="6">
        <v>550000</v>
      </c>
      <c r="T3" s="7">
        <v>600000</v>
      </c>
    </row>
    <row r="4" spans="2:20" ht="15.75" thickBot="1" x14ac:dyDescent="0.3">
      <c r="B4" s="4" t="s">
        <v>10</v>
      </c>
      <c r="C4" s="1" t="s">
        <v>42</v>
      </c>
      <c r="E4" s="5" t="s">
        <v>8</v>
      </c>
      <c r="F4" s="8">
        <v>303</v>
      </c>
      <c r="G4" s="8">
        <v>303</v>
      </c>
      <c r="H4" s="8">
        <v>303</v>
      </c>
      <c r="I4" s="8">
        <v>313</v>
      </c>
      <c r="J4" s="8">
        <v>313</v>
      </c>
      <c r="K4" s="8">
        <v>313</v>
      </c>
      <c r="L4" s="8">
        <v>323</v>
      </c>
      <c r="M4" s="8">
        <v>323</v>
      </c>
      <c r="N4" s="8">
        <v>323</v>
      </c>
      <c r="O4" s="8">
        <v>333</v>
      </c>
      <c r="P4" s="8">
        <v>333</v>
      </c>
      <c r="Q4" s="8">
        <v>333</v>
      </c>
      <c r="R4" s="8">
        <v>343</v>
      </c>
      <c r="S4" s="8">
        <v>343</v>
      </c>
      <c r="T4" s="9">
        <v>343</v>
      </c>
    </row>
    <row r="5" spans="2:20" ht="15.75" thickBot="1" x14ac:dyDescent="0.3">
      <c r="B5" s="4" t="s">
        <v>11</v>
      </c>
      <c r="C5" s="1" t="s">
        <v>41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44</v>
      </c>
      <c r="E7" s="18" t="s">
        <v>24</v>
      </c>
      <c r="F7" s="24">
        <f>ws_direct_ref_p_sat_T(F4,$C$3,$C$4,$C$5,$C$7,$C$8,$C$9,$C$10,$C$11,$C$12)</f>
        <v>766813.88470452547</v>
      </c>
      <c r="G7" s="24">
        <f t="shared" ref="G7:T7" si="0">ws_direct_ref_p_sat_T(G4,$C$3,$C$4,$C$5,$C$7,$C$8,$C$9,$C$10,$C$11,$C$12)</f>
        <v>766813.88470452547</v>
      </c>
      <c r="H7" s="24">
        <f t="shared" si="0"/>
        <v>766813.88470452547</v>
      </c>
      <c r="I7" s="24">
        <f t="shared" si="0"/>
        <v>1012377.9907783914</v>
      </c>
      <c r="J7" s="24">
        <f t="shared" si="0"/>
        <v>1012377.9907783914</v>
      </c>
      <c r="K7" s="24">
        <f t="shared" si="0"/>
        <v>1012377.9907783914</v>
      </c>
      <c r="L7" s="24">
        <f t="shared" si="0"/>
        <v>1312766.0144248332</v>
      </c>
      <c r="M7" s="24">
        <f t="shared" si="0"/>
        <v>1312766.0144248332</v>
      </c>
      <c r="N7" s="24">
        <f t="shared" si="0"/>
        <v>1312766.0144248332</v>
      </c>
      <c r="O7" s="24">
        <f t="shared" si="0"/>
        <v>1675670.0414275937</v>
      </c>
      <c r="P7" s="24">
        <f t="shared" si="0"/>
        <v>1675670.0414275937</v>
      </c>
      <c r="Q7" s="24">
        <f t="shared" si="0"/>
        <v>1675670.0414275937</v>
      </c>
      <c r="R7" s="24">
        <f t="shared" si="0"/>
        <v>2109724.5046974318</v>
      </c>
      <c r="S7" s="24">
        <f t="shared" si="0"/>
        <v>2109724.5046974318</v>
      </c>
      <c r="T7" s="25">
        <f t="shared" si="0"/>
        <v>2109724.5046974318</v>
      </c>
    </row>
    <row r="8" spans="2:20" x14ac:dyDescent="0.25">
      <c r="B8" s="4" t="s">
        <v>6</v>
      </c>
      <c r="C8" s="1">
        <v>1</v>
      </c>
      <c r="E8" s="19" t="s">
        <v>25</v>
      </c>
      <c r="F8" s="26">
        <f>ws_direct_ref_rho_l_T(F4,$C$3,$C$4,$C$5,$C$7,$C$8,$C$9,$C$10,$C$11,$C$12)</f>
        <v>1188.1452686564292</v>
      </c>
      <c r="G8" s="26">
        <f t="shared" ref="G8:T8" si="1">ws_direct_ref_rho_l_T(G4,$C$3,$C$4,$C$5,$C$7,$C$8,$C$9,$C$10,$C$11,$C$12)</f>
        <v>1188.1452686564292</v>
      </c>
      <c r="H8" s="26">
        <f t="shared" si="1"/>
        <v>1188.1452686564292</v>
      </c>
      <c r="I8" s="26">
        <f t="shared" si="1"/>
        <v>1147.3914717143221</v>
      </c>
      <c r="J8" s="26">
        <f t="shared" si="1"/>
        <v>1147.3914717143221</v>
      </c>
      <c r="K8" s="26">
        <f t="shared" si="1"/>
        <v>1147.3914717143221</v>
      </c>
      <c r="L8" s="26">
        <f t="shared" si="1"/>
        <v>1102.9660965494049</v>
      </c>
      <c r="M8" s="26">
        <f t="shared" si="1"/>
        <v>1102.9660965494049</v>
      </c>
      <c r="N8" s="26">
        <f t="shared" si="1"/>
        <v>1102.9660965494049</v>
      </c>
      <c r="O8" s="26">
        <f t="shared" si="1"/>
        <v>1053.5907635157282</v>
      </c>
      <c r="P8" s="26">
        <f t="shared" si="1"/>
        <v>1053.5907635157282</v>
      </c>
      <c r="Q8" s="26">
        <f t="shared" si="1"/>
        <v>1053.5907635157282</v>
      </c>
      <c r="R8" s="26">
        <f t="shared" si="1"/>
        <v>997.10934217749377</v>
      </c>
      <c r="S8" s="26">
        <f t="shared" si="1"/>
        <v>997.10934217749377</v>
      </c>
      <c r="T8" s="27">
        <f t="shared" si="1"/>
        <v>997.10934217749377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303</v>
      </c>
      <c r="G9" s="28">
        <f t="shared" ref="G9:T9" si="2">ws_direct_ref_T_sat_p(G7,$C$3,$C$4,$C$5,$C$7,$C$8,$C$9,$C$10,$C$11,$C$12)</f>
        <v>303</v>
      </c>
      <c r="H9" s="28">
        <f t="shared" si="2"/>
        <v>303</v>
      </c>
      <c r="I9" s="28">
        <f t="shared" si="2"/>
        <v>313</v>
      </c>
      <c r="J9" s="28">
        <f t="shared" si="2"/>
        <v>313</v>
      </c>
      <c r="K9" s="28">
        <f t="shared" si="2"/>
        <v>313</v>
      </c>
      <c r="L9" s="28">
        <f t="shared" si="2"/>
        <v>323</v>
      </c>
      <c r="M9" s="28">
        <f t="shared" si="2"/>
        <v>323</v>
      </c>
      <c r="N9" s="28">
        <f t="shared" si="2"/>
        <v>323</v>
      </c>
      <c r="O9" s="28">
        <f t="shared" si="2"/>
        <v>333</v>
      </c>
      <c r="P9" s="28">
        <f t="shared" si="2"/>
        <v>333</v>
      </c>
      <c r="Q9" s="28">
        <f t="shared" si="2"/>
        <v>333</v>
      </c>
      <c r="R9" s="28">
        <f t="shared" si="2"/>
        <v>343</v>
      </c>
      <c r="S9" s="28">
        <f t="shared" si="2"/>
        <v>343</v>
      </c>
      <c r="T9" s="29">
        <f t="shared" si="2"/>
        <v>343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22054.227513389578</v>
      </c>
      <c r="G10" s="26">
        <f t="shared" ref="G10:T10" si="3">ws_direct_ref_dp_sat_dT_T(G4,$C$3,$C$4,$C$5,$C$7,$C$8,$C$9,$C$10,$C$11,$C$12)</f>
        <v>22054.227513389578</v>
      </c>
      <c r="H10" s="26">
        <f t="shared" si="3"/>
        <v>22054.227513389578</v>
      </c>
      <c r="I10" s="26">
        <f t="shared" si="3"/>
        <v>27175.562090449195</v>
      </c>
      <c r="J10" s="26">
        <f t="shared" si="3"/>
        <v>27175.562090449195</v>
      </c>
      <c r="K10" s="26">
        <f t="shared" si="3"/>
        <v>27175.562090449195</v>
      </c>
      <c r="L10" s="26">
        <f t="shared" si="3"/>
        <v>33029.803326897105</v>
      </c>
      <c r="M10" s="26">
        <f t="shared" si="3"/>
        <v>33029.803326897105</v>
      </c>
      <c r="N10" s="26">
        <f t="shared" si="3"/>
        <v>33029.803326897105</v>
      </c>
      <c r="O10" s="26">
        <f t="shared" si="3"/>
        <v>39694.047333445742</v>
      </c>
      <c r="P10" s="26">
        <f t="shared" si="3"/>
        <v>39694.047333445742</v>
      </c>
      <c r="Q10" s="26">
        <f t="shared" si="3"/>
        <v>39694.047333445742</v>
      </c>
      <c r="R10" s="26">
        <f t="shared" si="3"/>
        <v>47284.038571243138</v>
      </c>
      <c r="S10" s="26">
        <f t="shared" si="3"/>
        <v>47284.038571243138</v>
      </c>
      <c r="T10" s="27">
        <f t="shared" si="3"/>
        <v>47284.038571243138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-3.9221264137119363</v>
      </c>
      <c r="G11" s="16">
        <f t="shared" ref="G11:T11" si="4">ws_direct_ref_drho_l_dT_T(G4,$C$3,$C$4,$C$5,$C$7,$C$8,$C$9,$C$10,$C$11,$C$12)</f>
        <v>-3.9221264137119363</v>
      </c>
      <c r="H11" s="16">
        <f t="shared" si="4"/>
        <v>-3.9221264137119363</v>
      </c>
      <c r="I11" s="16">
        <f t="shared" si="4"/>
        <v>-4.2422389470600352</v>
      </c>
      <c r="J11" s="16">
        <f t="shared" si="4"/>
        <v>-4.2422389470600352</v>
      </c>
      <c r="K11" s="16">
        <f t="shared" si="4"/>
        <v>-4.2422389470600352</v>
      </c>
      <c r="L11" s="16">
        <f t="shared" si="4"/>
        <v>-4.6635075884364348</v>
      </c>
      <c r="M11" s="16">
        <f t="shared" si="4"/>
        <v>-4.6635075884364348</v>
      </c>
      <c r="N11" s="16">
        <f t="shared" si="4"/>
        <v>-4.6635075884364348</v>
      </c>
      <c r="O11" s="16">
        <f t="shared" si="4"/>
        <v>-5.2458814558970026</v>
      </c>
      <c r="P11" s="16">
        <f t="shared" si="4"/>
        <v>-5.2458814558970026</v>
      </c>
      <c r="Q11" s="16">
        <f t="shared" si="4"/>
        <v>-5.2458814558970026</v>
      </c>
      <c r="R11" s="16">
        <f t="shared" si="4"/>
        <v>-6.1154267023845099</v>
      </c>
      <c r="S11" s="16">
        <f t="shared" si="4"/>
        <v>-6.1154267023845099</v>
      </c>
      <c r="T11" s="17">
        <f t="shared" si="4"/>
        <v>-6.1154267023845099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49</v>
      </c>
      <c r="F14" s="10">
        <f>ws_direct_abs_act_x_pTv1v2(F3,F4,-1,-1,$C$3,$C$4,$C$5,$C$7,$C$8,$C$9,$C$10,$C$11,$C$12)</f>
        <v>0.1859769724602961</v>
      </c>
      <c r="G14" s="10">
        <f t="shared" ref="G14:T14" si="5">ws_direct_abs_act_x_pTv1v2(G3,G4,-1,-1,$C$3,$C$4,$C$5,$C$7,$C$8,$C$9,$C$10,$C$11,$C$12)</f>
        <v>0.22412412026776077</v>
      </c>
      <c r="H14" s="10">
        <f t="shared" si="5"/>
        <v>0.27249429544302278</v>
      </c>
      <c r="I14" s="10">
        <f t="shared" si="5"/>
        <v>0.12070951668099787</v>
      </c>
      <c r="J14" s="10">
        <f t="shared" si="5"/>
        <v>0.13954264185036985</v>
      </c>
      <c r="K14" s="10">
        <f t="shared" si="5"/>
        <v>0.16066695843229775</v>
      </c>
      <c r="L14" s="10">
        <f t="shared" si="5"/>
        <v>8.6032930636282451E-2</v>
      </c>
      <c r="M14" s="10">
        <f t="shared" si="5"/>
        <v>9.771802733377237E-2</v>
      </c>
      <c r="N14" s="10">
        <f t="shared" si="5"/>
        <v>0.11025671673226346</v>
      </c>
      <c r="O14" s="10">
        <f t="shared" si="5"/>
        <v>6.4556427549118667E-2</v>
      </c>
      <c r="P14" s="10">
        <f t="shared" si="5"/>
        <v>7.2622893009714334E-2</v>
      </c>
      <c r="Q14" s="10">
        <f t="shared" si="5"/>
        <v>8.1086177063353179E-2</v>
      </c>
      <c r="R14" s="10">
        <f t="shared" si="5"/>
        <v>5.0086940739998274E-2</v>
      </c>
      <c r="S14" s="10">
        <f t="shared" si="5"/>
        <v>5.6011657767719478E-2</v>
      </c>
      <c r="T14" s="11">
        <f t="shared" si="5"/>
        <v>6.2145585233158676E-2</v>
      </c>
    </row>
    <row r="15" spans="2:20" x14ac:dyDescent="0.25">
      <c r="E15" s="19" t="s">
        <v>18</v>
      </c>
      <c r="F15" s="12">
        <f>ws_direct_abs_act_p_Txv1v2(F4,F14,-1,-1,$C$3,$C$4,$C$5,$C$7,$C$8,$C$9,$C$10,$C$11,$C$12)</f>
        <v>500000</v>
      </c>
      <c r="G15" s="12">
        <f t="shared" ref="G15:T15" si="6">ws_direct_abs_act_p_Txv1v2(G4,G14,-1,-1,$C$3,$C$4,$C$5,$C$7,$C$8,$C$9,$C$10,$C$11,$C$12)</f>
        <v>549999.99999999977</v>
      </c>
      <c r="H15" s="12">
        <f t="shared" si="6"/>
        <v>600000.00000000012</v>
      </c>
      <c r="I15" s="12">
        <f t="shared" si="6"/>
        <v>500000.00000000006</v>
      </c>
      <c r="J15" s="12">
        <f t="shared" si="6"/>
        <v>550000</v>
      </c>
      <c r="K15" s="12">
        <f t="shared" si="6"/>
        <v>600000</v>
      </c>
      <c r="L15" s="12">
        <f t="shared" si="6"/>
        <v>500000</v>
      </c>
      <c r="M15" s="12">
        <f t="shared" si="6"/>
        <v>550000.00000000012</v>
      </c>
      <c r="N15" s="12">
        <f t="shared" si="6"/>
        <v>600000</v>
      </c>
      <c r="O15" s="12">
        <f t="shared" si="6"/>
        <v>500000</v>
      </c>
      <c r="P15" s="12">
        <f t="shared" si="6"/>
        <v>550000</v>
      </c>
      <c r="Q15" s="12">
        <f t="shared" si="6"/>
        <v>600000.00000000012</v>
      </c>
      <c r="R15" s="12">
        <f t="shared" si="6"/>
        <v>500000</v>
      </c>
      <c r="S15" s="12">
        <f t="shared" si="6"/>
        <v>550000.00000000012</v>
      </c>
      <c r="T15" s="13">
        <f t="shared" si="6"/>
        <v>600000.00000000012</v>
      </c>
    </row>
    <row r="16" spans="2:20" x14ac:dyDescent="0.25">
      <c r="E16" s="21" t="s">
        <v>51</v>
      </c>
      <c r="F16" s="22">
        <f>ws_direct_abs_act_g_Txv1v2(F3,F14,-1,-1,$C$3,$C$4,$C$5,$C$7,$C$8,$C$9,$C$10,$C$11,$C$12)</f>
        <v>1.0031207546217071</v>
      </c>
      <c r="G16" s="22">
        <f t="shared" ref="G16:T16" si="7">ws_direct_abs_act_g_Txv1v2(G3,G14,-1,-1,$C$3,$C$4,$C$5,$C$7,$C$8,$C$9,$C$10,$C$11,$C$12)</f>
        <v>1.0025772946912901</v>
      </c>
      <c r="H16" s="22">
        <f t="shared" si="7"/>
        <v>1.0020770920008109</v>
      </c>
      <c r="I16" s="22">
        <f t="shared" si="7"/>
        <v>1.0036413107831896</v>
      </c>
      <c r="J16" s="22">
        <f t="shared" si="7"/>
        <v>1.0031698724438389</v>
      </c>
      <c r="K16" s="22">
        <f t="shared" si="7"/>
        <v>1.0027647076291455</v>
      </c>
      <c r="L16" s="22">
        <f t="shared" si="7"/>
        <v>1.0039342434005667</v>
      </c>
      <c r="M16" s="22">
        <f t="shared" si="7"/>
        <v>1.0034855737649049</v>
      </c>
      <c r="N16" s="22">
        <f t="shared" si="7"/>
        <v>1.0031068186338066</v>
      </c>
      <c r="O16" s="22">
        <f t="shared" si="7"/>
        <v>1.004121363900619</v>
      </c>
      <c r="P16" s="22">
        <f t="shared" si="7"/>
        <v>1.003682205294455</v>
      </c>
      <c r="Q16" s="22">
        <f t="shared" si="7"/>
        <v>1.0033139154093391</v>
      </c>
      <c r="R16" s="22">
        <f t="shared" si="7"/>
        <v>1.0042498912936468</v>
      </c>
      <c r="S16" s="22">
        <f t="shared" si="7"/>
        <v>1.00381533632502</v>
      </c>
      <c r="T16" s="23">
        <f t="shared" si="7"/>
        <v>1.0034519696954785</v>
      </c>
    </row>
    <row r="17" spans="5:20" x14ac:dyDescent="0.25">
      <c r="E17" s="19" t="s">
        <v>49</v>
      </c>
      <c r="F17" s="10">
        <f>ws_direct_abs_act_x_pTv1v2psat(F3,F4,-1,-1,F7,$C$3,$C$4,$C$5,$C$7,$C$8,$C$9,$C$10,$C$11,$C$12)</f>
        <v>0.1859769724602961</v>
      </c>
      <c r="G17" s="10">
        <f t="shared" ref="G17:T17" si="8">ws_direct_abs_act_x_pTv1v2psat(G3,G4,-1,-1,G7,$C$3,$C$4,$C$5,$C$7,$C$8,$C$9,$C$10,$C$11,$C$12)</f>
        <v>0.22412412026776077</v>
      </c>
      <c r="H17" s="10">
        <f t="shared" si="8"/>
        <v>0.27249429544302278</v>
      </c>
      <c r="I17" s="10">
        <f t="shared" si="8"/>
        <v>0.12070951668099787</v>
      </c>
      <c r="J17" s="10">
        <f t="shared" si="8"/>
        <v>0.13954264185036985</v>
      </c>
      <c r="K17" s="10">
        <f t="shared" si="8"/>
        <v>0.16066695843229775</v>
      </c>
      <c r="L17" s="10">
        <f t="shared" si="8"/>
        <v>8.6032930636282451E-2</v>
      </c>
      <c r="M17" s="10">
        <f t="shared" si="8"/>
        <v>9.771802733377237E-2</v>
      </c>
      <c r="N17" s="10">
        <f t="shared" si="8"/>
        <v>0.11025671673226346</v>
      </c>
      <c r="O17" s="10">
        <f t="shared" si="8"/>
        <v>6.4556427549118667E-2</v>
      </c>
      <c r="P17" s="10">
        <f t="shared" si="8"/>
        <v>7.2622893009714334E-2</v>
      </c>
      <c r="Q17" s="10">
        <f t="shared" si="8"/>
        <v>8.1086177063353179E-2</v>
      </c>
      <c r="R17" s="10">
        <f t="shared" si="8"/>
        <v>5.0086940739998274E-2</v>
      </c>
      <c r="S17" s="10">
        <f t="shared" si="8"/>
        <v>5.6011657767719478E-2</v>
      </c>
      <c r="T17" s="11">
        <f t="shared" si="8"/>
        <v>6.2145585233158676E-2</v>
      </c>
    </row>
    <row r="18" spans="5:20" ht="15.75" thickBot="1" x14ac:dyDescent="0.3">
      <c r="E18" s="20" t="s">
        <v>18</v>
      </c>
      <c r="F18" s="31">
        <f>ws_direct_abs_act_p_Txv1v2psat(F4,F14,-1,-1,F7,$C$3,$C$4,$C$5,$C$7,$C$8,$C$9,$C$10,$C$11,$C$12)</f>
        <v>500000</v>
      </c>
      <c r="G18" s="31">
        <f t="shared" ref="G18:T18" si="9">ws_direct_abs_act_p_Txv1v2psat(G4,G14,-1,-1,G7,$C$3,$C$4,$C$5,$C$7,$C$8,$C$9,$C$10,$C$11,$C$12)</f>
        <v>549999.99999999977</v>
      </c>
      <c r="H18" s="31">
        <f t="shared" si="9"/>
        <v>600000.00000000012</v>
      </c>
      <c r="I18" s="31">
        <f t="shared" si="9"/>
        <v>500000.00000000006</v>
      </c>
      <c r="J18" s="31">
        <f t="shared" si="9"/>
        <v>550000</v>
      </c>
      <c r="K18" s="31">
        <f t="shared" si="9"/>
        <v>600000</v>
      </c>
      <c r="L18" s="31">
        <f t="shared" si="9"/>
        <v>500000</v>
      </c>
      <c r="M18" s="31">
        <f t="shared" si="9"/>
        <v>550000.00000000012</v>
      </c>
      <c r="N18" s="31">
        <f t="shared" si="9"/>
        <v>600000</v>
      </c>
      <c r="O18" s="31">
        <f t="shared" si="9"/>
        <v>500000</v>
      </c>
      <c r="P18" s="31">
        <f t="shared" si="9"/>
        <v>550000</v>
      </c>
      <c r="Q18" s="31">
        <f t="shared" si="9"/>
        <v>600000.00000000012</v>
      </c>
      <c r="R18" s="31">
        <f t="shared" si="9"/>
        <v>500000</v>
      </c>
      <c r="S18" s="31">
        <f t="shared" si="9"/>
        <v>550000.00000000012</v>
      </c>
      <c r="T18" s="32">
        <f t="shared" si="9"/>
        <v>600000.00000000012</v>
      </c>
    </row>
  </sheetData>
  <mergeCells count="4">
    <mergeCell ref="B2:C2"/>
    <mergeCell ref="E2:T2"/>
    <mergeCell ref="E6:T6"/>
    <mergeCell ref="E13:T13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1:T18"/>
  <sheetViews>
    <sheetView zoomScale="85" zoomScaleNormal="85" workbookViewId="0">
      <selection activeCell="K16" sqref="K16"/>
    </sheetView>
  </sheetViews>
  <sheetFormatPr baseColWidth="10" defaultColWidth="9.140625" defaultRowHeight="15" x14ac:dyDescent="0.25"/>
  <cols>
    <col min="2" max="2" width="31" bestFit="1" customWidth="1"/>
    <col min="3" max="3" width="28.42578125" bestFit="1" customWidth="1"/>
    <col min="5" max="5" width="40.7109375" customWidth="1"/>
    <col min="6" max="20" width="12.85546875" bestFit="1" customWidth="1"/>
  </cols>
  <sheetData>
    <row r="1" spans="2:20" ht="15.75" thickBot="1" x14ac:dyDescent="0.3"/>
    <row r="2" spans="2:20" ht="15.75" thickBot="1" x14ac:dyDescent="0.3">
      <c r="B2" s="33" t="s">
        <v>5</v>
      </c>
      <c r="C2" s="34"/>
      <c r="E2" s="33" t="s">
        <v>15</v>
      </c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4"/>
    </row>
    <row r="3" spans="2:20" x14ac:dyDescent="0.25">
      <c r="B3" s="3" t="s">
        <v>9</v>
      </c>
      <c r="C3" s="1" t="s">
        <v>43</v>
      </c>
      <c r="E3" s="3" t="s">
        <v>7</v>
      </c>
      <c r="F3" s="30">
        <v>200000</v>
      </c>
      <c r="G3" s="6">
        <v>250000</v>
      </c>
      <c r="H3" s="6">
        <v>30000</v>
      </c>
      <c r="I3" s="6">
        <v>200000</v>
      </c>
      <c r="J3" s="6">
        <v>250000</v>
      </c>
      <c r="K3" s="6">
        <v>30000</v>
      </c>
      <c r="L3" s="6">
        <v>200000</v>
      </c>
      <c r="M3" s="6">
        <v>250000</v>
      </c>
      <c r="N3" s="6">
        <v>30000</v>
      </c>
      <c r="O3" s="6">
        <v>200000</v>
      </c>
      <c r="P3" s="6">
        <v>250000</v>
      </c>
      <c r="Q3" s="6">
        <v>30000</v>
      </c>
      <c r="R3" s="6">
        <v>200000</v>
      </c>
      <c r="S3" s="6">
        <v>250000</v>
      </c>
      <c r="T3" s="7">
        <v>30000</v>
      </c>
    </row>
    <row r="4" spans="2:20" ht="15.75" thickBot="1" x14ac:dyDescent="0.3">
      <c r="B4" s="4" t="s">
        <v>10</v>
      </c>
      <c r="C4" s="1" t="s">
        <v>52</v>
      </c>
      <c r="E4" s="5" t="s">
        <v>8</v>
      </c>
      <c r="F4" s="8">
        <v>303</v>
      </c>
      <c r="G4" s="8">
        <v>303</v>
      </c>
      <c r="H4" s="8">
        <v>303</v>
      </c>
      <c r="I4" s="8">
        <v>313</v>
      </c>
      <c r="J4" s="8">
        <v>313</v>
      </c>
      <c r="K4" s="8">
        <v>313</v>
      </c>
      <c r="L4" s="8">
        <v>323</v>
      </c>
      <c r="M4" s="8">
        <v>323</v>
      </c>
      <c r="N4" s="8">
        <v>323</v>
      </c>
      <c r="O4" s="8">
        <v>333</v>
      </c>
      <c r="P4" s="8">
        <v>333</v>
      </c>
      <c r="Q4" s="8">
        <v>333</v>
      </c>
      <c r="R4" s="8">
        <v>343</v>
      </c>
      <c r="S4" s="8">
        <v>343</v>
      </c>
      <c r="T4" s="9">
        <v>343</v>
      </c>
    </row>
    <row r="5" spans="2:20" ht="15.75" thickBot="1" x14ac:dyDescent="0.3">
      <c r="B5" s="4" t="s">
        <v>11</v>
      </c>
      <c r="C5" s="1" t="s">
        <v>53</v>
      </c>
    </row>
    <row r="6" spans="2:20" ht="15.75" thickBot="1" x14ac:dyDescent="0.3">
      <c r="B6" s="4"/>
      <c r="C6" s="1"/>
      <c r="E6" s="36" t="s">
        <v>16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8"/>
    </row>
    <row r="7" spans="2:20" x14ac:dyDescent="0.25">
      <c r="B7" s="4" t="s">
        <v>12</v>
      </c>
      <c r="C7" s="1" t="s">
        <v>54</v>
      </c>
      <c r="E7" s="18" t="s">
        <v>24</v>
      </c>
      <c r="F7" s="24">
        <f>ws_direct_ref_p_sat_T(F4,$C$3,$C$4,$C$5,$C$7,$C$8,$C$9,$C$10,$C$11,$C$12)</f>
        <v>403027.34603733232</v>
      </c>
      <c r="G7" s="24">
        <f t="shared" ref="G7:T7" si="0">ws_direct_ref_p_sat_T(G4,$C$3,$C$4,$C$5,$C$7,$C$8,$C$9,$C$10,$C$11,$C$12)</f>
        <v>403027.34603733232</v>
      </c>
      <c r="H7" s="24">
        <f t="shared" si="0"/>
        <v>403027.34603733232</v>
      </c>
      <c r="I7" s="24">
        <f t="shared" si="0"/>
        <v>529129.20484208141</v>
      </c>
      <c r="J7" s="24">
        <f t="shared" si="0"/>
        <v>529129.20484208141</v>
      </c>
      <c r="K7" s="24">
        <f t="shared" si="0"/>
        <v>529129.20484208141</v>
      </c>
      <c r="L7" s="24">
        <f t="shared" si="0"/>
        <v>682387.79366508487</v>
      </c>
      <c r="M7" s="24">
        <f t="shared" si="0"/>
        <v>682387.79366508487</v>
      </c>
      <c r="N7" s="24">
        <f t="shared" si="0"/>
        <v>682387.79366508487</v>
      </c>
      <c r="O7" s="24">
        <f t="shared" si="0"/>
        <v>866172.64760081819</v>
      </c>
      <c r="P7" s="24">
        <f t="shared" si="0"/>
        <v>866172.64760081819</v>
      </c>
      <c r="Q7" s="24">
        <f t="shared" si="0"/>
        <v>866172.64760081819</v>
      </c>
      <c r="R7" s="24">
        <f t="shared" si="0"/>
        <v>1084025.100950825</v>
      </c>
      <c r="S7" s="24">
        <f t="shared" si="0"/>
        <v>1084025.100950825</v>
      </c>
      <c r="T7" s="25">
        <f t="shared" si="0"/>
        <v>1084025.100950825</v>
      </c>
    </row>
    <row r="8" spans="2:20" x14ac:dyDescent="0.25">
      <c r="B8" s="4" t="s">
        <v>6</v>
      </c>
      <c r="C8" s="1">
        <v>1</v>
      </c>
      <c r="E8" s="19" t="s">
        <v>25</v>
      </c>
      <c r="F8" s="26">
        <f>ws_direct_ref_rho_l_T(F4,$C$3,$C$4,$C$5,$C$7,$C$8,$C$9,$C$10,$C$11,$C$12)</f>
        <v>544.27296236737629</v>
      </c>
      <c r="G8" s="26">
        <f t="shared" ref="G8:T8" si="1">ws_direct_ref_rho_l_T(G4,$C$3,$C$4,$C$5,$C$7,$C$8,$C$9,$C$10,$C$11,$C$12)</f>
        <v>544.27296236737629</v>
      </c>
      <c r="H8" s="26">
        <f t="shared" si="1"/>
        <v>544.27296236737629</v>
      </c>
      <c r="I8" s="26">
        <f t="shared" si="1"/>
        <v>531.18680212617994</v>
      </c>
      <c r="J8" s="26">
        <f t="shared" si="1"/>
        <v>531.18680212617994</v>
      </c>
      <c r="K8" s="26">
        <f t="shared" si="1"/>
        <v>531.18680212617994</v>
      </c>
      <c r="L8" s="26">
        <f t="shared" si="1"/>
        <v>517.41401153978904</v>
      </c>
      <c r="M8" s="26">
        <f t="shared" si="1"/>
        <v>517.41401153978904</v>
      </c>
      <c r="N8" s="26">
        <f t="shared" si="1"/>
        <v>517.41401153978904</v>
      </c>
      <c r="O8" s="26">
        <f t="shared" si="1"/>
        <v>502.79882513142735</v>
      </c>
      <c r="P8" s="26">
        <f t="shared" si="1"/>
        <v>502.79882513142735</v>
      </c>
      <c r="Q8" s="26">
        <f t="shared" si="1"/>
        <v>502.79882513142735</v>
      </c>
      <c r="R8" s="26">
        <f t="shared" si="1"/>
        <v>487.12891760734135</v>
      </c>
      <c r="S8" s="26">
        <f t="shared" si="1"/>
        <v>487.12891760734135</v>
      </c>
      <c r="T8" s="27">
        <f t="shared" si="1"/>
        <v>487.12891760734135</v>
      </c>
    </row>
    <row r="9" spans="2:20" x14ac:dyDescent="0.25">
      <c r="B9" s="4" t="s">
        <v>13</v>
      </c>
      <c r="C9" s="1" t="s">
        <v>1</v>
      </c>
      <c r="E9" s="21" t="s">
        <v>26</v>
      </c>
      <c r="F9" s="28">
        <f>ws_direct_ref_T_sat_p(F7,$C$3,$C$4,$C$5,$C$7,$C$8,$C$9,$C$10,$C$11,$C$12)</f>
        <v>303</v>
      </c>
      <c r="G9" s="28">
        <f t="shared" ref="G9:T9" si="2">ws_direct_ref_T_sat_p(G7,$C$3,$C$4,$C$5,$C$7,$C$8,$C$9,$C$10,$C$11,$C$12)</f>
        <v>303</v>
      </c>
      <c r="H9" s="28">
        <f t="shared" si="2"/>
        <v>303</v>
      </c>
      <c r="I9" s="28">
        <f t="shared" si="2"/>
        <v>313</v>
      </c>
      <c r="J9" s="28">
        <f t="shared" si="2"/>
        <v>313</v>
      </c>
      <c r="K9" s="28">
        <f t="shared" si="2"/>
        <v>313</v>
      </c>
      <c r="L9" s="28">
        <f t="shared" si="2"/>
        <v>323</v>
      </c>
      <c r="M9" s="28">
        <f t="shared" si="2"/>
        <v>323</v>
      </c>
      <c r="N9" s="28">
        <f t="shared" si="2"/>
        <v>323</v>
      </c>
      <c r="O9" s="28">
        <f t="shared" si="2"/>
        <v>333</v>
      </c>
      <c r="P9" s="28">
        <f t="shared" si="2"/>
        <v>333</v>
      </c>
      <c r="Q9" s="28">
        <f t="shared" si="2"/>
        <v>333</v>
      </c>
      <c r="R9" s="28">
        <f t="shared" si="2"/>
        <v>343</v>
      </c>
      <c r="S9" s="28">
        <f t="shared" si="2"/>
        <v>343</v>
      </c>
      <c r="T9" s="29">
        <f t="shared" si="2"/>
        <v>343</v>
      </c>
    </row>
    <row r="10" spans="2:20" x14ac:dyDescent="0.25">
      <c r="B10" s="4" t="s">
        <v>6</v>
      </c>
      <c r="C10" s="1">
        <v>1</v>
      </c>
      <c r="E10" s="19" t="s">
        <v>27</v>
      </c>
      <c r="F10" s="26">
        <f>ws_direct_ref_dp_sat_dT_T(F4,$C$3,$C$4,$C$5,$C$7,$C$8,$C$9,$C$10,$C$11,$C$12)</f>
        <v>11360.928770739545</v>
      </c>
      <c r="G10" s="26">
        <f t="shared" ref="G10:T10" si="3">ws_direct_ref_dp_sat_dT_T(G4,$C$3,$C$4,$C$5,$C$7,$C$8,$C$9,$C$10,$C$11,$C$12)</f>
        <v>11360.928770739545</v>
      </c>
      <c r="H10" s="26">
        <f t="shared" si="3"/>
        <v>11360.928770739545</v>
      </c>
      <c r="I10" s="26">
        <f t="shared" si="3"/>
        <v>13913.140982410443</v>
      </c>
      <c r="J10" s="26">
        <f t="shared" si="3"/>
        <v>13913.140982410443</v>
      </c>
      <c r="K10" s="26">
        <f t="shared" si="3"/>
        <v>13913.140982410443</v>
      </c>
      <c r="L10" s="26">
        <f t="shared" si="3"/>
        <v>16794.69519127555</v>
      </c>
      <c r="M10" s="26">
        <f t="shared" si="3"/>
        <v>16794.69519127555</v>
      </c>
      <c r="N10" s="26">
        <f t="shared" si="3"/>
        <v>16794.69519127555</v>
      </c>
      <c r="O10" s="26">
        <f t="shared" si="3"/>
        <v>20021.223083128563</v>
      </c>
      <c r="P10" s="26">
        <f t="shared" si="3"/>
        <v>20021.223083128563</v>
      </c>
      <c r="Q10" s="26">
        <f t="shared" si="3"/>
        <v>20021.223083128563</v>
      </c>
      <c r="R10" s="26">
        <f t="shared" si="3"/>
        <v>23611.798377169933</v>
      </c>
      <c r="S10" s="26">
        <f t="shared" si="3"/>
        <v>23611.798377169933</v>
      </c>
      <c r="T10" s="27">
        <f t="shared" si="3"/>
        <v>23611.798377169933</v>
      </c>
    </row>
    <row r="11" spans="2:20" ht="15.75" thickBot="1" x14ac:dyDescent="0.3">
      <c r="B11" s="4" t="s">
        <v>14</v>
      </c>
      <c r="C11" s="1" t="s">
        <v>2</v>
      </c>
      <c r="E11" s="20" t="s">
        <v>28</v>
      </c>
      <c r="F11" s="16">
        <f>ws_direct_ref_drho_l_dT_T(F4,$C$3,$C$4,$C$5,$C$7,$C$8,$C$9,$C$10,$C$11,$C$12)</f>
        <v>-1.2784707610436374</v>
      </c>
      <c r="G11" s="16">
        <f t="shared" ref="G11:T11" si="4">ws_direct_ref_drho_l_dT_T(G4,$C$3,$C$4,$C$5,$C$7,$C$8,$C$9,$C$10,$C$11,$C$12)</f>
        <v>-1.2784707610436374</v>
      </c>
      <c r="H11" s="16">
        <f t="shared" si="4"/>
        <v>-1.2784707610436374</v>
      </c>
      <c r="I11" s="16">
        <f t="shared" si="4"/>
        <v>-1.3407123734310635</v>
      </c>
      <c r="J11" s="16">
        <f t="shared" si="4"/>
        <v>-1.3407123734310635</v>
      </c>
      <c r="K11" s="16">
        <f t="shared" si="4"/>
        <v>-1.3407123734310635</v>
      </c>
      <c r="L11" s="16">
        <f t="shared" si="4"/>
        <v>-1.416411676143134</v>
      </c>
      <c r="M11" s="16">
        <f t="shared" si="4"/>
        <v>-1.416411676143134</v>
      </c>
      <c r="N11" s="16">
        <f t="shared" si="4"/>
        <v>-1.416411676143134</v>
      </c>
      <c r="O11" s="16">
        <f t="shared" si="4"/>
        <v>-1.5101121877757424</v>
      </c>
      <c r="P11" s="16">
        <f t="shared" si="4"/>
        <v>-1.5101121877757424</v>
      </c>
      <c r="Q11" s="16">
        <f t="shared" si="4"/>
        <v>-1.5101121877757424</v>
      </c>
      <c r="R11" s="16">
        <f t="shared" si="4"/>
        <v>-1.6288075701088527</v>
      </c>
      <c r="S11" s="16">
        <f t="shared" si="4"/>
        <v>-1.6288075701088527</v>
      </c>
      <c r="T11" s="17">
        <f t="shared" si="4"/>
        <v>-1.6288075701088527</v>
      </c>
    </row>
    <row r="12" spans="2:20" ht="15.75" thickBot="1" x14ac:dyDescent="0.3">
      <c r="B12" s="5" t="s">
        <v>6</v>
      </c>
      <c r="C12" s="2">
        <v>1</v>
      </c>
    </row>
    <row r="13" spans="2:20" ht="15.75" thickBot="1" x14ac:dyDescent="0.3">
      <c r="E13" s="36" t="s">
        <v>16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8"/>
    </row>
    <row r="14" spans="2:20" x14ac:dyDescent="0.25">
      <c r="E14" s="18" t="s">
        <v>49</v>
      </c>
      <c r="F14" s="10">
        <f>ws_direct_abs_mix_x_pT(F3,F4,$C$3,$C$4,$C$5,$C$7,$C$8,$C$9,$C$10,$C$11,$C$12)</f>
        <v>0.46107572426027721</v>
      </c>
      <c r="G14" s="10">
        <f t="shared" ref="G14:T14" si="5">ws_direct_abs_mix_x_pT(G3,G4,$C$3,$C$4,$C$5,$C$7,$C$8,$C$9,$C$10,$C$11,$C$12)</f>
        <v>0.58116074280594576</v>
      </c>
      <c r="H14" s="10">
        <f t="shared" si="5"/>
        <v>6.9174918100203014E-2</v>
      </c>
      <c r="I14" s="10">
        <f t="shared" si="5"/>
        <v>0.35918924458757678</v>
      </c>
      <c r="J14" s="10">
        <f t="shared" si="5"/>
        <v>0.44887731659048519</v>
      </c>
      <c r="K14" s="10">
        <f t="shared" si="5"/>
        <v>5.4542218837880643E-2</v>
      </c>
      <c r="L14" s="10">
        <f t="shared" si="5"/>
        <v>0.28695746963561319</v>
      </c>
      <c r="M14" s="10">
        <f t="shared" si="5"/>
        <v>0.35736555354052552</v>
      </c>
      <c r="N14" s="10">
        <f t="shared" si="5"/>
        <v>4.3824944138555075E-2</v>
      </c>
      <c r="O14" s="10">
        <f t="shared" si="5"/>
        <v>0.23389069277881172</v>
      </c>
      <c r="P14" s="10">
        <f t="shared" si="5"/>
        <v>0.29082142757733931</v>
      </c>
      <c r="Q14" s="10">
        <f t="shared" si="5"/>
        <v>3.5817217941966698E-2</v>
      </c>
      <c r="R14" s="10">
        <f t="shared" si="5"/>
        <v>0.19390601282532363</v>
      </c>
      <c r="S14" s="10">
        <f t="shared" si="5"/>
        <v>0.24093557620060255</v>
      </c>
      <c r="T14" s="11">
        <f t="shared" si="5"/>
        <v>2.9725967175151177E-2</v>
      </c>
    </row>
    <row r="15" spans="2:20" x14ac:dyDescent="0.25">
      <c r="E15" s="19" t="s">
        <v>18</v>
      </c>
      <c r="F15" s="12">
        <f>ws_direct_abs_mix_p_Tx(F4,F14,$C$3,$C$4,$C$5,$C$7,$C$8,$C$9,$C$10,$C$11,$C$12)</f>
        <v>199999.61239127087</v>
      </c>
      <c r="G15" s="12">
        <f t="shared" ref="G15:T15" si="6">ws_direct_abs_mix_p_Tx(G4,G14,$C$3,$C$4,$C$5,$C$7,$C$8,$C$9,$C$10,$C$11,$C$12)</f>
        <v>249999.92046167591</v>
      </c>
      <c r="H15" s="12">
        <f t="shared" si="6"/>
        <v>30000.020728888197</v>
      </c>
      <c r="I15" s="12">
        <f t="shared" si="6"/>
        <v>199999.89831684716</v>
      </c>
      <c r="J15" s="12">
        <f t="shared" si="6"/>
        <v>249999.80718241583</v>
      </c>
      <c r="K15" s="12">
        <f t="shared" si="6"/>
        <v>30000.012122526725</v>
      </c>
      <c r="L15" s="12">
        <f t="shared" si="6"/>
        <v>199999.94255100496</v>
      </c>
      <c r="M15" s="12">
        <f t="shared" si="6"/>
        <v>249999.89164877165</v>
      </c>
      <c r="N15" s="12">
        <f t="shared" si="6"/>
        <v>30000.004214559245</v>
      </c>
      <c r="O15" s="12">
        <f t="shared" si="6"/>
        <v>200000.02079791675</v>
      </c>
      <c r="P15" s="12">
        <f t="shared" si="6"/>
        <v>249999.98769063747</v>
      </c>
      <c r="Q15" s="12">
        <f t="shared" si="6"/>
        <v>30000.005171049324</v>
      </c>
      <c r="R15" s="12">
        <f t="shared" si="6"/>
        <v>200000.04822190767</v>
      </c>
      <c r="S15" s="12">
        <f t="shared" si="6"/>
        <v>250000.28543644765</v>
      </c>
      <c r="T15" s="13">
        <f t="shared" si="6"/>
        <v>30000.00368963668</v>
      </c>
    </row>
    <row r="16" spans="2:20" x14ac:dyDescent="0.25">
      <c r="E16" s="21" t="s">
        <v>19</v>
      </c>
      <c r="F16" s="22">
        <f>ws_direct_abs_mix_T_px(F3,F14,$C$3,$C$4,$C$5,$C$7,$C$8,$C$9,$C$10,$C$11,$C$12)</f>
        <v>303.00007468622226</v>
      </c>
      <c r="G16" s="22">
        <f t="shared" ref="G16:T16" si="7">ws_direct_abs_mix_T_px(G3,G14,$C$3,$C$4,$C$5,$C$7,$C$8,$C$9,$C$10,$C$11,$C$12)</f>
        <v>303.00001207038753</v>
      </c>
      <c r="H16" s="22">
        <f t="shared" si="7"/>
        <v>302.99997218075396</v>
      </c>
      <c r="I16" s="22">
        <f t="shared" si="7"/>
        <v>313.00002143876452</v>
      </c>
      <c r="J16" s="22">
        <f t="shared" si="7"/>
        <v>313.00003212994511</v>
      </c>
      <c r="K16" s="22">
        <f t="shared" si="7"/>
        <v>-1</v>
      </c>
      <c r="L16" s="22">
        <f t="shared" si="7"/>
        <v>323.0000132068605</v>
      </c>
      <c r="M16" s="22">
        <f t="shared" si="7"/>
        <v>323.0000197268883</v>
      </c>
      <c r="N16" s="22">
        <f t="shared" si="7"/>
        <v>-1</v>
      </c>
      <c r="O16" s="22">
        <f t="shared" si="7"/>
        <v>332.9999947999334</v>
      </c>
      <c r="P16" s="22">
        <f t="shared" si="7"/>
        <v>333.00000244102182</v>
      </c>
      <c r="Q16" s="22">
        <f t="shared" si="7"/>
        <v>-1</v>
      </c>
      <c r="R16" s="22">
        <f t="shared" si="7"/>
        <v>342.99998691263403</v>
      </c>
      <c r="S16" s="22">
        <f t="shared" si="7"/>
        <v>342.9999384872192</v>
      </c>
      <c r="T16" s="23">
        <f t="shared" si="7"/>
        <v>-1</v>
      </c>
    </row>
    <row r="17" spans="5:20" x14ac:dyDescent="0.25">
      <c r="E17" s="19" t="s">
        <v>50</v>
      </c>
      <c r="F17" s="12">
        <f>ws_direct_abs_mix_dp_dx_Tx(F4,F14,$C$3,$C$4,$C$5,$C$7,$C$8,$C$9,$C$10,$C$11,$C$12)</f>
        <v>424462.93955435976</v>
      </c>
      <c r="G17" s="12">
        <f t="shared" ref="G17:T17" si="8">ws_direct_abs_mix_dp_dx_Tx(G4,G14,$C$3,$C$4,$C$5,$C$7,$C$8,$C$9,$C$10,$C$11,$C$12)</f>
        <v>406488.54919709265</v>
      </c>
      <c r="H17" s="12">
        <f t="shared" si="8"/>
        <v>434651.32803248707</v>
      </c>
      <c r="I17" s="12">
        <f t="shared" si="8"/>
        <v>559610.66391319036</v>
      </c>
      <c r="J17" s="12">
        <f t="shared" si="8"/>
        <v>554528.28964916989</v>
      </c>
      <c r="K17" s="12">
        <f t="shared" si="8"/>
        <v>551782.77616505511</v>
      </c>
      <c r="L17" s="12">
        <f t="shared" si="8"/>
        <v>708762.18960620463</v>
      </c>
      <c r="M17" s="12">
        <f t="shared" si="8"/>
        <v>711100.59070633724</v>
      </c>
      <c r="N17" s="12">
        <f t="shared" si="8"/>
        <v>687054.55196322873</v>
      </c>
      <c r="O17" s="12">
        <f t="shared" si="8"/>
        <v>874357.34749305993</v>
      </c>
      <c r="P17" s="12">
        <f t="shared" si="8"/>
        <v>881939.59527416155</v>
      </c>
      <c r="Q17" s="12">
        <f t="shared" si="8"/>
        <v>840828.50717095425</v>
      </c>
      <c r="R17" s="12">
        <f t="shared" si="8"/>
        <v>1057243.9117822796</v>
      </c>
      <c r="S17" s="12">
        <f t="shared" si="8"/>
        <v>1068984.8902984522</v>
      </c>
      <c r="T17" s="13">
        <f t="shared" si="8"/>
        <v>1013120.38332253</v>
      </c>
    </row>
    <row r="18" spans="5:20" ht="15.75" thickBot="1" x14ac:dyDescent="0.3">
      <c r="E18" s="20" t="s">
        <v>21</v>
      </c>
      <c r="F18" s="16">
        <f>ws_direct_abs_mix_dp_dT_Tx(F4,F14,$C$3,$C$4,$C$5,$C$7,$C$8,$C$9,$C$10,$C$11,$C$12)</f>
        <v>5189.8251714010257</v>
      </c>
      <c r="G18" s="16">
        <f t="shared" ref="G18:T18" si="9">ws_direct_abs_mix_dp_dT_Tx(G4,G14,$C$3,$C$4,$C$5,$C$7,$C$8,$C$9,$C$10,$C$11,$C$12)</f>
        <v>6589.5399398868904</v>
      </c>
      <c r="H18" s="16">
        <f t="shared" si="9"/>
        <v>745.12795772534446</v>
      </c>
      <c r="I18" s="16">
        <f t="shared" si="9"/>
        <v>4742.9561833268963</v>
      </c>
      <c r="J18" s="16">
        <f t="shared" si="9"/>
        <v>6001.1796884646174</v>
      </c>
      <c r="K18" s="16">
        <f t="shared" si="9"/>
        <v>685.80331029806985</v>
      </c>
      <c r="L18" s="16">
        <f t="shared" si="9"/>
        <v>4349.9345220334362</v>
      </c>
      <c r="M18" s="16">
        <f t="shared" si="9"/>
        <v>5492.5613573868759</v>
      </c>
      <c r="N18" s="16">
        <f t="shared" si="9"/>
        <v>632.26400028725038</v>
      </c>
      <c r="O18" s="16">
        <f t="shared" si="9"/>
        <v>3999.5516356430016</v>
      </c>
      <c r="P18" s="16">
        <f t="shared" si="9"/>
        <v>5042.7107478026301</v>
      </c>
      <c r="Q18" s="16">
        <f t="shared" si="9"/>
        <v>583.7640293793811</v>
      </c>
      <c r="R18" s="16">
        <f t="shared" si="9"/>
        <v>3684.6161226276308</v>
      </c>
      <c r="S18" s="16">
        <f t="shared" si="9"/>
        <v>4640.2808347193059</v>
      </c>
      <c r="T18" s="17">
        <f t="shared" si="9"/>
        <v>539.72626050381223</v>
      </c>
    </row>
  </sheetData>
  <mergeCells count="4">
    <mergeCell ref="B2:C2"/>
    <mergeCell ref="E2:T2"/>
    <mergeCell ref="E6:T6"/>
    <mergeCell ref="E13:T1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Adsorption - Surface</vt:lpstr>
      <vt:lpstr>Adsorption - SurfaceVapor</vt:lpstr>
      <vt:lpstr>Adsorption - Volumetric</vt:lpstr>
      <vt:lpstr>Absorption - Conventional</vt:lpstr>
      <vt:lpstr>Absorption - Activity</vt:lpstr>
      <vt:lpstr>Absorption - Mixing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2021-07-14T15:17:43Z</dcterms:modified>
</cp:coreProperties>
</file>