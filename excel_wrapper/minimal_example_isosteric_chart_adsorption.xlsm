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 tabRatio="736"/>
  </bookViews>
  <sheets>
    <sheet name="Adsorption - Volumetric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8" i="1" l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7" i="1"/>
  <c r="I17" i="1" l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C18" i="1"/>
  <c r="C22" i="1"/>
  <c r="C26" i="1"/>
  <c r="C30" i="1"/>
  <c r="C34" i="1"/>
  <c r="C38" i="1"/>
  <c r="C42" i="1"/>
  <c r="C46" i="1"/>
  <c r="C50" i="1"/>
  <c r="C54" i="1"/>
  <c r="C58" i="1"/>
  <c r="C62" i="1"/>
  <c r="C66" i="1"/>
  <c r="C70" i="1"/>
  <c r="C74" i="1"/>
  <c r="C78" i="1"/>
  <c r="C82" i="1"/>
  <c r="C86" i="1"/>
  <c r="C90" i="1"/>
  <c r="C94" i="1"/>
  <c r="C98" i="1"/>
  <c r="C102" i="1"/>
  <c r="C106" i="1"/>
  <c r="C31" i="1"/>
  <c r="C43" i="1"/>
  <c r="C51" i="1"/>
  <c r="C59" i="1"/>
  <c r="C67" i="1"/>
  <c r="C75" i="1"/>
  <c r="C83" i="1"/>
  <c r="C91" i="1"/>
  <c r="C99" i="1"/>
  <c r="C107" i="1"/>
  <c r="C77" i="1"/>
  <c r="C85" i="1"/>
  <c r="C93" i="1"/>
  <c r="C105" i="1"/>
  <c r="C19" i="1"/>
  <c r="C23" i="1"/>
  <c r="C27" i="1"/>
  <c r="C35" i="1"/>
  <c r="C39" i="1"/>
  <c r="C47" i="1"/>
  <c r="C55" i="1"/>
  <c r="C63" i="1"/>
  <c r="C71" i="1"/>
  <c r="C79" i="1"/>
  <c r="C87" i="1"/>
  <c r="C95" i="1"/>
  <c r="C103" i="1"/>
  <c r="C73" i="1"/>
  <c r="C89" i="1"/>
  <c r="C97" i="1"/>
  <c r="C20" i="1"/>
  <c r="C24" i="1"/>
  <c r="C28" i="1"/>
  <c r="C32" i="1"/>
  <c r="C36" i="1"/>
  <c r="C40" i="1"/>
  <c r="C44" i="1"/>
  <c r="C48" i="1"/>
  <c r="C52" i="1"/>
  <c r="C56" i="1"/>
  <c r="C60" i="1"/>
  <c r="C64" i="1"/>
  <c r="C68" i="1"/>
  <c r="C72" i="1"/>
  <c r="C76" i="1"/>
  <c r="C80" i="1"/>
  <c r="C84" i="1"/>
  <c r="C88" i="1"/>
  <c r="C92" i="1"/>
  <c r="C96" i="1"/>
  <c r="C100" i="1"/>
  <c r="C104" i="1"/>
  <c r="C21" i="1"/>
  <c r="C25" i="1"/>
  <c r="C29" i="1"/>
  <c r="C33" i="1"/>
  <c r="C37" i="1"/>
  <c r="C41" i="1"/>
  <c r="C45" i="1"/>
  <c r="C49" i="1"/>
  <c r="C53" i="1"/>
  <c r="C57" i="1"/>
  <c r="C61" i="1"/>
  <c r="C65" i="1"/>
  <c r="C69" i="1"/>
  <c r="C81" i="1"/>
  <c r="C101" i="1"/>
  <c r="C17" i="1"/>
  <c r="O99" i="1"/>
  <c r="O20" i="1"/>
  <c r="O22" i="1"/>
  <c r="O26" i="1"/>
  <c r="O30" i="1"/>
  <c r="O34" i="1"/>
  <c r="O38" i="1"/>
  <c r="O42" i="1"/>
  <c r="O46" i="1"/>
  <c r="O50" i="1"/>
  <c r="O54" i="1"/>
  <c r="O58" i="1"/>
  <c r="O62" i="1"/>
  <c r="O66" i="1"/>
  <c r="O70" i="1"/>
  <c r="O74" i="1"/>
  <c r="O78" i="1"/>
  <c r="O82" i="1"/>
  <c r="O86" i="1"/>
  <c r="O90" i="1"/>
  <c r="O94" i="1"/>
  <c r="O98" i="1"/>
  <c r="O102" i="1"/>
  <c r="O106" i="1"/>
  <c r="O17" i="1"/>
  <c r="O19" i="1"/>
  <c r="O21" i="1"/>
  <c r="O23" i="1"/>
  <c r="O25" i="1"/>
  <c r="O27" i="1"/>
  <c r="O29" i="1"/>
  <c r="O31" i="1"/>
  <c r="O33" i="1"/>
  <c r="O35" i="1"/>
  <c r="O37" i="1"/>
  <c r="O39" i="1"/>
  <c r="O41" i="1"/>
  <c r="O43" i="1"/>
  <c r="O45" i="1"/>
  <c r="O47" i="1"/>
  <c r="O49" i="1"/>
  <c r="O51" i="1"/>
  <c r="O53" i="1"/>
  <c r="O55" i="1"/>
  <c r="O57" i="1"/>
  <c r="O59" i="1"/>
  <c r="O61" i="1"/>
  <c r="O63" i="1"/>
  <c r="O65" i="1"/>
  <c r="O67" i="1"/>
  <c r="O69" i="1"/>
  <c r="O71" i="1"/>
  <c r="O73" i="1"/>
  <c r="O75" i="1"/>
  <c r="O77" i="1"/>
  <c r="O79" i="1"/>
  <c r="O81" i="1"/>
  <c r="O83" i="1"/>
  <c r="O85" i="1"/>
  <c r="O87" i="1"/>
  <c r="O89" i="1"/>
  <c r="O91" i="1"/>
  <c r="O93" i="1"/>
  <c r="O95" i="1"/>
  <c r="O97" i="1"/>
  <c r="O101" i="1"/>
  <c r="O103" i="1"/>
  <c r="O105" i="1"/>
  <c r="O107" i="1"/>
  <c r="O18" i="1"/>
  <c r="O24" i="1"/>
  <c r="O28" i="1"/>
  <c r="O32" i="1"/>
  <c r="O36" i="1"/>
  <c r="O40" i="1"/>
  <c r="O44" i="1"/>
  <c r="O48" i="1"/>
  <c r="O52" i="1"/>
  <c r="O56" i="1"/>
  <c r="O60" i="1"/>
  <c r="O64" i="1"/>
  <c r="O68" i="1"/>
  <c r="O72" i="1"/>
  <c r="O76" i="1"/>
  <c r="O80" i="1"/>
  <c r="O84" i="1"/>
  <c r="O88" i="1"/>
  <c r="O92" i="1"/>
  <c r="O96" i="1"/>
  <c r="O100" i="1"/>
  <c r="O104" i="1"/>
  <c r="N18" i="1"/>
  <c r="N22" i="1"/>
  <c r="N26" i="1"/>
  <c r="N30" i="1"/>
  <c r="N34" i="1"/>
  <c r="N38" i="1"/>
  <c r="N42" i="1"/>
  <c r="N46" i="1"/>
  <c r="N50" i="1"/>
  <c r="N54" i="1"/>
  <c r="N58" i="1"/>
  <c r="N62" i="1"/>
  <c r="N66" i="1"/>
  <c r="N70" i="1"/>
  <c r="N74" i="1"/>
  <c r="N78" i="1"/>
  <c r="N82" i="1"/>
  <c r="N86" i="1"/>
  <c r="N90" i="1"/>
  <c r="N94" i="1"/>
  <c r="N98" i="1"/>
  <c r="N102" i="1"/>
  <c r="N106" i="1"/>
  <c r="N105" i="1"/>
  <c r="N20" i="1"/>
  <c r="N24" i="1"/>
  <c r="N32" i="1"/>
  <c r="N40" i="1"/>
  <c r="N48" i="1"/>
  <c r="N56" i="1"/>
  <c r="N64" i="1"/>
  <c r="N72" i="1"/>
  <c r="N80" i="1"/>
  <c r="N92" i="1"/>
  <c r="N100" i="1"/>
  <c r="N23" i="1"/>
  <c r="N27" i="1"/>
  <c r="N35" i="1"/>
  <c r="N43" i="1"/>
  <c r="N51" i="1"/>
  <c r="N55" i="1"/>
  <c r="N63" i="1"/>
  <c r="N71" i="1"/>
  <c r="N79" i="1"/>
  <c r="N87" i="1"/>
  <c r="N95" i="1"/>
  <c r="N103" i="1"/>
  <c r="N17" i="1"/>
  <c r="N21" i="1"/>
  <c r="N25" i="1"/>
  <c r="N29" i="1"/>
  <c r="N33" i="1"/>
  <c r="N37" i="1"/>
  <c r="N41" i="1"/>
  <c r="N45" i="1"/>
  <c r="N49" i="1"/>
  <c r="N53" i="1"/>
  <c r="N57" i="1"/>
  <c r="N61" i="1"/>
  <c r="N65" i="1"/>
  <c r="N69" i="1"/>
  <c r="N73" i="1"/>
  <c r="N77" i="1"/>
  <c r="N81" i="1"/>
  <c r="N85" i="1"/>
  <c r="N89" i="1"/>
  <c r="N93" i="1"/>
  <c r="N97" i="1"/>
  <c r="N101" i="1"/>
  <c r="N28" i="1"/>
  <c r="N36" i="1"/>
  <c r="N44" i="1"/>
  <c r="N52" i="1"/>
  <c r="N60" i="1"/>
  <c r="N68" i="1"/>
  <c r="N76" i="1"/>
  <c r="N84" i="1"/>
  <c r="N88" i="1"/>
  <c r="N96" i="1"/>
  <c r="N104" i="1"/>
  <c r="N19" i="1"/>
  <c r="N31" i="1"/>
  <c r="N39" i="1"/>
  <c r="N47" i="1"/>
  <c r="N59" i="1"/>
  <c r="N67" i="1"/>
  <c r="N75" i="1"/>
  <c r="N83" i="1"/>
  <c r="N91" i="1"/>
  <c r="N99" i="1"/>
  <c r="N107" i="1"/>
  <c r="M58" i="1"/>
  <c r="M69" i="1"/>
  <c r="M72" i="1"/>
  <c r="M74" i="1"/>
  <c r="M76" i="1"/>
  <c r="M78" i="1"/>
  <c r="M80" i="1"/>
  <c r="M82" i="1"/>
  <c r="M84" i="1"/>
  <c r="M86" i="1"/>
  <c r="M88" i="1"/>
  <c r="M90" i="1"/>
  <c r="M92" i="1"/>
  <c r="M94" i="1"/>
  <c r="M96" i="1"/>
  <c r="M98" i="1"/>
  <c r="M100" i="1"/>
  <c r="M102" i="1"/>
  <c r="M104" i="1"/>
  <c r="M10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9" i="1"/>
  <c r="M60" i="1"/>
  <c r="M61" i="1"/>
  <c r="M62" i="1"/>
  <c r="M63" i="1"/>
  <c r="M64" i="1"/>
  <c r="M65" i="1"/>
  <c r="M66" i="1"/>
  <c r="M67" i="1"/>
  <c r="M68" i="1"/>
  <c r="M70" i="1"/>
  <c r="M71" i="1"/>
  <c r="M73" i="1"/>
  <c r="M75" i="1"/>
  <c r="M77" i="1"/>
  <c r="M79" i="1"/>
  <c r="M81" i="1"/>
  <c r="M83" i="1"/>
  <c r="M85" i="1"/>
  <c r="M87" i="1"/>
  <c r="M89" i="1"/>
  <c r="M91" i="1"/>
  <c r="M93" i="1"/>
  <c r="M95" i="1"/>
  <c r="M97" i="1"/>
  <c r="M99" i="1"/>
  <c r="M101" i="1"/>
  <c r="M103" i="1"/>
  <c r="M105" i="1"/>
  <c r="M107" i="1"/>
  <c r="L20" i="1"/>
  <c r="L24" i="1"/>
  <c r="L28" i="1"/>
  <c r="L32" i="1"/>
  <c r="L36" i="1"/>
  <c r="L40" i="1"/>
  <c r="L44" i="1"/>
  <c r="L48" i="1"/>
  <c r="L52" i="1"/>
  <c r="L56" i="1"/>
  <c r="L60" i="1"/>
  <c r="L64" i="1"/>
  <c r="L68" i="1"/>
  <c r="L72" i="1"/>
  <c r="L76" i="1"/>
  <c r="L80" i="1"/>
  <c r="L84" i="1"/>
  <c r="L88" i="1"/>
  <c r="L92" i="1"/>
  <c r="L96" i="1"/>
  <c r="L100" i="1"/>
  <c r="L104" i="1"/>
  <c r="L22" i="1"/>
  <c r="L26" i="1"/>
  <c r="L30" i="1"/>
  <c r="L34" i="1"/>
  <c r="L38" i="1"/>
  <c r="L42" i="1"/>
  <c r="L46" i="1"/>
  <c r="L50" i="1"/>
  <c r="L54" i="1"/>
  <c r="L62" i="1"/>
  <c r="L70" i="1"/>
  <c r="L78" i="1"/>
  <c r="L82" i="1"/>
  <c r="L94" i="1"/>
  <c r="L102" i="1"/>
  <c r="L106" i="1"/>
  <c r="L23" i="1"/>
  <c r="L31" i="1"/>
  <c r="L39" i="1"/>
  <c r="L47" i="1"/>
  <c r="L51" i="1"/>
  <c r="L63" i="1"/>
  <c r="L67" i="1"/>
  <c r="L75" i="1"/>
  <c r="L83" i="1"/>
  <c r="L91" i="1"/>
  <c r="L103" i="1"/>
  <c r="L17" i="1"/>
  <c r="L21" i="1"/>
  <c r="L25" i="1"/>
  <c r="L29" i="1"/>
  <c r="L33" i="1"/>
  <c r="L37" i="1"/>
  <c r="L41" i="1"/>
  <c r="L45" i="1"/>
  <c r="L49" i="1"/>
  <c r="L53" i="1"/>
  <c r="L57" i="1"/>
  <c r="L61" i="1"/>
  <c r="L65" i="1"/>
  <c r="L69" i="1"/>
  <c r="L73" i="1"/>
  <c r="L77" i="1"/>
  <c r="L81" i="1"/>
  <c r="L85" i="1"/>
  <c r="L89" i="1"/>
  <c r="L93" i="1"/>
  <c r="L97" i="1"/>
  <c r="L101" i="1"/>
  <c r="L105" i="1"/>
  <c r="L18" i="1"/>
  <c r="L58" i="1"/>
  <c r="L66" i="1"/>
  <c r="L74" i="1"/>
  <c r="L86" i="1"/>
  <c r="L90" i="1"/>
  <c r="L98" i="1"/>
  <c r="L19" i="1"/>
  <c r="L27" i="1"/>
  <c r="L35" i="1"/>
  <c r="L43" i="1"/>
  <c r="L55" i="1"/>
  <c r="L59" i="1"/>
  <c r="L71" i="1"/>
  <c r="L79" i="1"/>
  <c r="L87" i="1"/>
  <c r="L95" i="1"/>
  <c r="L99" i="1"/>
  <c r="L107" i="1"/>
  <c r="K89" i="1"/>
  <c r="K107" i="1"/>
  <c r="K34" i="1"/>
  <c r="K40" i="1"/>
  <c r="K44" i="1"/>
  <c r="K48" i="1"/>
  <c r="K52" i="1"/>
  <c r="K56" i="1"/>
  <c r="K62" i="1"/>
  <c r="K66" i="1"/>
  <c r="K70" i="1"/>
  <c r="K74" i="1"/>
  <c r="K78" i="1"/>
  <c r="K84" i="1"/>
  <c r="K88" i="1"/>
  <c r="K92" i="1"/>
  <c r="K96" i="1"/>
  <c r="K102" i="1"/>
  <c r="K106" i="1"/>
  <c r="K17" i="1"/>
  <c r="K19" i="1"/>
  <c r="K21" i="1"/>
  <c r="K23" i="1"/>
  <c r="K25" i="1"/>
  <c r="K27" i="1"/>
  <c r="K29" i="1"/>
  <c r="K31" i="1"/>
  <c r="K33" i="1"/>
  <c r="K35" i="1"/>
  <c r="K37" i="1"/>
  <c r="K39" i="1"/>
  <c r="K41" i="1"/>
  <c r="K43" i="1"/>
  <c r="K45" i="1"/>
  <c r="K47" i="1"/>
  <c r="K49" i="1"/>
  <c r="K51" i="1"/>
  <c r="K53" i="1"/>
  <c r="K55" i="1"/>
  <c r="K57" i="1"/>
  <c r="K59" i="1"/>
  <c r="K61" i="1"/>
  <c r="K63" i="1"/>
  <c r="K65" i="1"/>
  <c r="K67" i="1"/>
  <c r="K69" i="1"/>
  <c r="K71" i="1"/>
  <c r="K73" i="1"/>
  <c r="K75" i="1"/>
  <c r="K77" i="1"/>
  <c r="K79" i="1"/>
  <c r="K81" i="1"/>
  <c r="K83" i="1"/>
  <c r="K85" i="1"/>
  <c r="K87" i="1"/>
  <c r="K91" i="1"/>
  <c r="K93" i="1"/>
  <c r="K95" i="1"/>
  <c r="K97" i="1"/>
  <c r="K99" i="1"/>
  <c r="K101" i="1"/>
  <c r="K103" i="1"/>
  <c r="K105" i="1"/>
  <c r="K18" i="1"/>
  <c r="K20" i="1"/>
  <c r="K22" i="1"/>
  <c r="K24" i="1"/>
  <c r="K26" i="1"/>
  <c r="K28" i="1"/>
  <c r="K30" i="1"/>
  <c r="K32" i="1"/>
  <c r="K36" i="1"/>
  <c r="K38" i="1"/>
  <c r="K42" i="1"/>
  <c r="K46" i="1"/>
  <c r="K50" i="1"/>
  <c r="K54" i="1"/>
  <c r="K58" i="1"/>
  <c r="K60" i="1"/>
  <c r="K64" i="1"/>
  <c r="K68" i="1"/>
  <c r="K72" i="1"/>
  <c r="K76" i="1"/>
  <c r="K80" i="1"/>
  <c r="K82" i="1"/>
  <c r="K86" i="1"/>
  <c r="K90" i="1"/>
  <c r="K94" i="1"/>
  <c r="K98" i="1"/>
  <c r="K100" i="1"/>
  <c r="K104" i="1"/>
  <c r="J18" i="1"/>
  <c r="J22" i="1"/>
  <c r="J26" i="1"/>
  <c r="J30" i="1"/>
  <c r="J34" i="1"/>
  <c r="J38" i="1"/>
  <c r="J42" i="1"/>
  <c r="J46" i="1"/>
  <c r="J50" i="1"/>
  <c r="J54" i="1"/>
  <c r="J58" i="1"/>
  <c r="J62" i="1"/>
  <c r="J66" i="1"/>
  <c r="J70" i="1"/>
  <c r="J74" i="1"/>
  <c r="J78" i="1"/>
  <c r="J82" i="1"/>
  <c r="J86" i="1"/>
  <c r="J90" i="1"/>
  <c r="J94" i="1"/>
  <c r="J98" i="1"/>
  <c r="J102" i="1"/>
  <c r="J106" i="1"/>
  <c r="J20" i="1"/>
  <c r="J24" i="1"/>
  <c r="J28" i="1"/>
  <c r="J32" i="1"/>
  <c r="J40" i="1"/>
  <c r="J52" i="1"/>
  <c r="J56" i="1"/>
  <c r="J68" i="1"/>
  <c r="J76" i="1"/>
  <c r="J84" i="1"/>
  <c r="J92" i="1"/>
  <c r="J100" i="1"/>
  <c r="J27" i="1"/>
  <c r="J35" i="1"/>
  <c r="J47" i="1"/>
  <c r="J55" i="1"/>
  <c r="J59" i="1"/>
  <c r="J71" i="1"/>
  <c r="J79" i="1"/>
  <c r="J87" i="1"/>
  <c r="J95" i="1"/>
  <c r="J103" i="1"/>
  <c r="J107" i="1"/>
  <c r="J17" i="1"/>
  <c r="J21" i="1"/>
  <c r="J25" i="1"/>
  <c r="J29" i="1"/>
  <c r="J33" i="1"/>
  <c r="J37" i="1"/>
  <c r="J41" i="1"/>
  <c r="J45" i="1"/>
  <c r="J49" i="1"/>
  <c r="J53" i="1"/>
  <c r="J57" i="1"/>
  <c r="J61" i="1"/>
  <c r="J65" i="1"/>
  <c r="J69" i="1"/>
  <c r="J73" i="1"/>
  <c r="J77" i="1"/>
  <c r="J81" i="1"/>
  <c r="J85" i="1"/>
  <c r="J89" i="1"/>
  <c r="J93" i="1"/>
  <c r="J97" i="1"/>
  <c r="J101" i="1"/>
  <c r="J105" i="1"/>
  <c r="J36" i="1"/>
  <c r="J44" i="1"/>
  <c r="J48" i="1"/>
  <c r="J60" i="1"/>
  <c r="J64" i="1"/>
  <c r="J72" i="1"/>
  <c r="J80" i="1"/>
  <c r="J88" i="1"/>
  <c r="J96" i="1"/>
  <c r="J104" i="1"/>
  <c r="J19" i="1"/>
  <c r="J23" i="1"/>
  <c r="J31" i="1"/>
  <c r="J39" i="1"/>
  <c r="J43" i="1"/>
  <c r="J51" i="1"/>
  <c r="J63" i="1"/>
  <c r="J67" i="1"/>
  <c r="J75" i="1"/>
  <c r="J83" i="1"/>
  <c r="J91" i="1"/>
  <c r="J99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3" i="1"/>
  <c r="H64" i="1"/>
  <c r="H66" i="1"/>
  <c r="H68" i="1"/>
  <c r="H71" i="1"/>
  <c r="H72" i="1"/>
  <c r="H75" i="1"/>
  <c r="H76" i="1"/>
  <c r="H78" i="1"/>
  <c r="H81" i="1"/>
  <c r="H83" i="1"/>
  <c r="H85" i="1"/>
  <c r="H86" i="1"/>
  <c r="H88" i="1"/>
  <c r="H91" i="1"/>
  <c r="H93" i="1"/>
  <c r="H95" i="1"/>
  <c r="H96" i="1"/>
  <c r="H98" i="1"/>
  <c r="H101" i="1"/>
  <c r="H103" i="1"/>
  <c r="H104" i="1"/>
  <c r="H107" i="1"/>
  <c r="H53" i="1"/>
  <c r="H62" i="1"/>
  <c r="H65" i="1"/>
  <c r="H67" i="1"/>
  <c r="H69" i="1"/>
  <c r="H70" i="1"/>
  <c r="H73" i="1"/>
  <c r="H74" i="1"/>
  <c r="H77" i="1"/>
  <c r="H79" i="1"/>
  <c r="H80" i="1"/>
  <c r="H82" i="1"/>
  <c r="H84" i="1"/>
  <c r="H87" i="1"/>
  <c r="H89" i="1"/>
  <c r="H90" i="1"/>
  <c r="H92" i="1"/>
  <c r="H94" i="1"/>
  <c r="H97" i="1"/>
  <c r="H99" i="1"/>
  <c r="H100" i="1"/>
  <c r="H102" i="1"/>
  <c r="H105" i="1"/>
  <c r="H106" i="1"/>
  <c r="G17" i="1"/>
  <c r="G21" i="1"/>
  <c r="G25" i="1"/>
  <c r="G29" i="1"/>
  <c r="G33" i="1"/>
  <c r="G37" i="1"/>
  <c r="G41" i="1"/>
  <c r="G45" i="1"/>
  <c r="G49" i="1"/>
  <c r="G53" i="1"/>
  <c r="G57" i="1"/>
  <c r="G61" i="1"/>
  <c r="G65" i="1"/>
  <c r="G69" i="1"/>
  <c r="G73" i="1"/>
  <c r="G77" i="1"/>
  <c r="G81" i="1"/>
  <c r="G85" i="1"/>
  <c r="G89" i="1"/>
  <c r="G93" i="1"/>
  <c r="G97" i="1"/>
  <c r="G101" i="1"/>
  <c r="G105" i="1"/>
  <c r="G19" i="1"/>
  <c r="G23" i="1"/>
  <c r="G27" i="1"/>
  <c r="G31" i="1"/>
  <c r="G35" i="1"/>
  <c r="G39" i="1"/>
  <c r="G43" i="1"/>
  <c r="G47" i="1"/>
  <c r="G51" i="1"/>
  <c r="G55" i="1"/>
  <c r="G59" i="1"/>
  <c r="G63" i="1"/>
  <c r="G67" i="1"/>
  <c r="G71" i="1"/>
  <c r="G75" i="1"/>
  <c r="G79" i="1"/>
  <c r="G83" i="1"/>
  <c r="G87" i="1"/>
  <c r="G91" i="1"/>
  <c r="G95" i="1"/>
  <c r="G99" i="1"/>
  <c r="G103" i="1"/>
  <c r="G107" i="1"/>
  <c r="G20" i="1"/>
  <c r="G24" i="1"/>
  <c r="G28" i="1"/>
  <c r="G32" i="1"/>
  <c r="G36" i="1"/>
  <c r="G40" i="1"/>
  <c r="G44" i="1"/>
  <c r="G48" i="1"/>
  <c r="G52" i="1"/>
  <c r="G56" i="1"/>
  <c r="G60" i="1"/>
  <c r="G64" i="1"/>
  <c r="G68" i="1"/>
  <c r="G72" i="1"/>
  <c r="G76" i="1"/>
  <c r="G80" i="1"/>
  <c r="G84" i="1"/>
  <c r="G88" i="1"/>
  <c r="G92" i="1"/>
  <c r="G96" i="1"/>
  <c r="G100" i="1"/>
  <c r="G104" i="1"/>
  <c r="G18" i="1"/>
  <c r="G22" i="1"/>
  <c r="G26" i="1"/>
  <c r="G30" i="1"/>
  <c r="G34" i="1"/>
  <c r="G38" i="1"/>
  <c r="G42" i="1"/>
  <c r="G46" i="1"/>
  <c r="G50" i="1"/>
  <c r="G54" i="1"/>
  <c r="G58" i="1"/>
  <c r="G62" i="1"/>
  <c r="G66" i="1"/>
  <c r="G70" i="1"/>
  <c r="G74" i="1"/>
  <c r="G78" i="1"/>
  <c r="G82" i="1"/>
  <c r="G86" i="1"/>
  <c r="G90" i="1"/>
  <c r="G94" i="1"/>
  <c r="G98" i="1"/>
  <c r="G102" i="1"/>
  <c r="G106" i="1"/>
  <c r="F17" i="1"/>
  <c r="F19" i="1"/>
  <c r="F21" i="1"/>
  <c r="F23" i="1"/>
  <c r="F25" i="1"/>
  <c r="F27" i="1"/>
  <c r="F29" i="1"/>
  <c r="F31" i="1"/>
  <c r="F33" i="1"/>
  <c r="F35" i="1"/>
  <c r="F37" i="1"/>
  <c r="F39" i="1"/>
  <c r="F41" i="1"/>
  <c r="F43" i="1"/>
  <c r="F45" i="1"/>
  <c r="F47" i="1"/>
  <c r="F49" i="1"/>
  <c r="F51" i="1"/>
  <c r="F53" i="1"/>
  <c r="F55" i="1"/>
  <c r="F57" i="1"/>
  <c r="F59" i="1"/>
  <c r="F61" i="1"/>
  <c r="F63" i="1"/>
  <c r="F65" i="1"/>
  <c r="F67" i="1"/>
  <c r="F69" i="1"/>
  <c r="F71" i="1"/>
  <c r="F73" i="1"/>
  <c r="F75" i="1"/>
  <c r="F77" i="1"/>
  <c r="F79" i="1"/>
  <c r="F81" i="1"/>
  <c r="F83" i="1"/>
  <c r="F85" i="1"/>
  <c r="F87" i="1"/>
  <c r="F89" i="1"/>
  <c r="F91" i="1"/>
  <c r="F93" i="1"/>
  <c r="F95" i="1"/>
  <c r="F97" i="1"/>
  <c r="F99" i="1"/>
  <c r="F101" i="1"/>
  <c r="F103" i="1"/>
  <c r="F105" i="1"/>
  <c r="F107" i="1"/>
  <c r="F58" i="1"/>
  <c r="F60" i="1"/>
  <c r="F64" i="1"/>
  <c r="F68" i="1"/>
  <c r="F72" i="1"/>
  <c r="F76" i="1"/>
  <c r="F78" i="1"/>
  <c r="F82" i="1"/>
  <c r="F86" i="1"/>
  <c r="F88" i="1"/>
  <c r="F94" i="1"/>
  <c r="F98" i="1"/>
  <c r="F102" i="1"/>
  <c r="F104" i="1"/>
  <c r="F18" i="1"/>
  <c r="F20" i="1"/>
  <c r="F22" i="1"/>
  <c r="F24" i="1"/>
  <c r="F26" i="1"/>
  <c r="F28" i="1"/>
  <c r="F30" i="1"/>
  <c r="F32" i="1"/>
  <c r="F34" i="1"/>
  <c r="F36" i="1"/>
  <c r="F38" i="1"/>
  <c r="F40" i="1"/>
  <c r="F42" i="1"/>
  <c r="F44" i="1"/>
  <c r="F46" i="1"/>
  <c r="F48" i="1"/>
  <c r="F50" i="1"/>
  <c r="F52" i="1"/>
  <c r="F54" i="1"/>
  <c r="F56" i="1"/>
  <c r="F62" i="1"/>
  <c r="F66" i="1"/>
  <c r="F70" i="1"/>
  <c r="F74" i="1"/>
  <c r="F80" i="1"/>
  <c r="F84" i="1"/>
  <c r="F90" i="1"/>
  <c r="F92" i="1"/>
  <c r="F96" i="1"/>
  <c r="F100" i="1"/>
  <c r="F106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9" i="1"/>
  <c r="E23" i="1"/>
  <c r="E27" i="1"/>
  <c r="E31" i="1"/>
  <c r="E35" i="1"/>
  <c r="E39" i="1"/>
  <c r="E47" i="1"/>
  <c r="E55" i="1"/>
  <c r="E67" i="1"/>
  <c r="E71" i="1"/>
  <c r="E79" i="1"/>
  <c r="E87" i="1"/>
  <c r="E95" i="1"/>
  <c r="E103" i="1"/>
  <c r="E26" i="1"/>
  <c r="E34" i="1"/>
  <c r="E46" i="1"/>
  <c r="E54" i="1"/>
  <c r="E62" i="1"/>
  <c r="E70" i="1"/>
  <c r="E78" i="1"/>
  <c r="E90" i="1"/>
  <c r="E94" i="1"/>
  <c r="E102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43" i="1"/>
  <c r="E51" i="1"/>
  <c r="E59" i="1"/>
  <c r="E63" i="1"/>
  <c r="E75" i="1"/>
  <c r="E83" i="1"/>
  <c r="E91" i="1"/>
  <c r="E99" i="1"/>
  <c r="E107" i="1"/>
  <c r="E18" i="1"/>
  <c r="E22" i="1"/>
  <c r="E30" i="1"/>
  <c r="E38" i="1"/>
  <c r="E42" i="1"/>
  <c r="E50" i="1"/>
  <c r="E58" i="1"/>
  <c r="E66" i="1"/>
  <c r="E74" i="1"/>
  <c r="E82" i="1"/>
  <c r="E86" i="1"/>
  <c r="E98" i="1"/>
  <c r="E106" i="1"/>
  <c r="D93" i="1"/>
  <c r="D77" i="1"/>
  <c r="D102" i="1"/>
  <c r="D86" i="1"/>
  <c r="D70" i="1"/>
  <c r="D103" i="1"/>
  <c r="D87" i="1"/>
  <c r="D71" i="1"/>
  <c r="D58" i="1"/>
  <c r="D42" i="1"/>
  <c r="D26" i="1"/>
  <c r="D22" i="1"/>
  <c r="D18" i="1"/>
  <c r="D63" i="1"/>
  <c r="D47" i="1"/>
  <c r="D32" i="1"/>
  <c r="D72" i="1"/>
  <c r="D52" i="1"/>
  <c r="D31" i="1"/>
  <c r="D67" i="1"/>
  <c r="D53" i="1"/>
  <c r="D37" i="1"/>
  <c r="D69" i="1"/>
  <c r="D95" i="1"/>
  <c r="D80" i="1"/>
  <c r="D33" i="1"/>
  <c r="D20" i="1"/>
  <c r="D55" i="1"/>
  <c r="D104" i="1"/>
  <c r="D44" i="1"/>
  <c r="D92" i="1"/>
  <c r="D45" i="1"/>
  <c r="D97" i="1"/>
  <c r="D106" i="1"/>
  <c r="D90" i="1"/>
  <c r="D107" i="1"/>
  <c r="D75" i="1"/>
  <c r="D46" i="1"/>
  <c r="D19" i="1"/>
  <c r="D51" i="1"/>
  <c r="D88" i="1"/>
  <c r="D40" i="1"/>
  <c r="D41" i="1"/>
  <c r="D105" i="1"/>
  <c r="D89" i="1"/>
  <c r="D73" i="1"/>
  <c r="D98" i="1"/>
  <c r="D82" i="1"/>
  <c r="D68" i="1"/>
  <c r="D99" i="1"/>
  <c r="D83" i="1"/>
  <c r="D96" i="1"/>
  <c r="D54" i="1"/>
  <c r="D38" i="1"/>
  <c r="D25" i="1"/>
  <c r="D21" i="1"/>
  <c r="D30" i="1"/>
  <c r="D59" i="1"/>
  <c r="D43" i="1"/>
  <c r="D28" i="1"/>
  <c r="D64" i="1"/>
  <c r="D48" i="1"/>
  <c r="D27" i="1"/>
  <c r="D65" i="1"/>
  <c r="D49" i="1"/>
  <c r="D35" i="1"/>
  <c r="D101" i="1"/>
  <c r="D85" i="1"/>
  <c r="D94" i="1"/>
  <c r="D78" i="1"/>
  <c r="D66" i="1"/>
  <c r="D79" i="1"/>
  <c r="D50" i="1"/>
  <c r="D24" i="1"/>
  <c r="D100" i="1"/>
  <c r="D39" i="1"/>
  <c r="D60" i="1"/>
  <c r="D61" i="1"/>
  <c r="D34" i="1"/>
  <c r="D81" i="1"/>
  <c r="D74" i="1"/>
  <c r="D91" i="1"/>
  <c r="D62" i="1"/>
  <c r="D29" i="1"/>
  <c r="D23" i="1"/>
  <c r="D84" i="1"/>
  <c r="D36" i="1"/>
  <c r="D56" i="1"/>
  <c r="D76" i="1"/>
  <c r="D57" i="1"/>
  <c r="D17" i="1"/>
</calcChain>
</file>

<file path=xl/sharedStrings.xml><?xml version="1.0" encoding="utf-8"?>
<sst xmlns="http://schemas.openxmlformats.org/spreadsheetml/2006/main" count="31" uniqueCount="18">
  <si>
    <t>DubininArctan1</t>
  </si>
  <si>
    <t>VaporPressure_EoS1</t>
  </si>
  <si>
    <t>SaturatedLiquidDensity_EoS1</t>
  </si>
  <si>
    <t>Water</t>
  </si>
  <si>
    <t>silica gel pellet</t>
  </si>
  <si>
    <t>Definition of the working pair</t>
  </si>
  <si>
    <t>ID of equation</t>
  </si>
  <si>
    <t>Sorbent</t>
  </si>
  <si>
    <t>Subtype</t>
  </si>
  <si>
    <t>Refrigerant</t>
  </si>
  <si>
    <t>Equilibrium equation</t>
  </si>
  <si>
    <t>Vapor pressure equation</t>
  </si>
  <si>
    <t>Saturated liquid density equation</t>
  </si>
  <si>
    <t>T / K</t>
  </si>
  <si>
    <t>p_sat / Pa</t>
  </si>
  <si>
    <t>p_eq / Pa</t>
  </si>
  <si>
    <t>x / %</t>
  </si>
  <si>
    <t>-1/T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</si>
</sst>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9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/>
    </xf>
    <xf numFmtId="0" fontId="1" fillId="3" borderId="7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/>
    </xf>
    <xf numFmtId="0" fontId="1" fillId="2" borderId="3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1" fillId="0" borderId="0" xfId="0" quotePrefix="1" applyFo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Vapor pressure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Volumetric'!$C$17:$C$107</c:f>
              <c:numCache>
                <c:formatCode>General</c:formatCode>
                <c:ptCount val="91"/>
                <c:pt idx="0">
                  <c:v>1228.1121508936101</c:v>
                </c:pt>
                <c:pt idx="1">
                  <c:v>1312.8752898099151</c:v>
                </c:pt>
                <c:pt idx="2">
                  <c:v>1402.7477574648547</c:v>
                </c:pt>
                <c:pt idx="3">
                  <c:v>1497.9898213215665</c:v>
                </c:pt>
                <c:pt idx="4">
                  <c:v>1598.872326983111</c:v>
                </c:pt>
                <c:pt idx="5">
                  <c:v>1705.677000368174</c:v>
                </c:pt>
                <c:pt idx="6">
                  <c:v>1818.6967535254296</c:v>
                </c:pt>
                <c:pt idx="7">
                  <c:v>1938.235993971228</c:v>
                </c:pt>
                <c:pt idx="8">
                  <c:v>2064.6109374308776</c:v>
                </c:pt>
                <c:pt idx="9">
                  <c:v>2198.1499238605602</c:v>
                </c:pt>
                <c:pt idx="10">
                  <c:v>2339.1937366227544</c:v>
                </c:pt>
                <c:pt idx="11">
                  <c:v>2488.0959246848061</c:v>
                </c:pt>
                <c:pt idx="12">
                  <c:v>2645.2231277067672</c:v>
                </c:pt>
                <c:pt idx="13">
                  <c:v>2810.9554038817464</c:v>
                </c:pt>
                <c:pt idx="14">
                  <c:v>2985.6865603885949</c:v>
                </c:pt>
                <c:pt idx="15">
                  <c:v>3169.8244863139726</c:v>
                </c:pt>
                <c:pt idx="16">
                  <c:v>3363.7914878985089</c:v>
                </c:pt>
                <c:pt idx="17">
                  <c:v>3568.0246259588257</c:v>
                </c:pt>
                <c:pt idx="18">
                  <c:v>3782.9760553349306</c:v>
                </c:pt>
                <c:pt idx="19">
                  <c:v>4009.1133662106045</c:v>
                </c:pt>
                <c:pt idx="20">
                  <c:v>4246.9199271521238</c:v>
                </c:pt>
                <c:pt idx="21">
                  <c:v>4496.8952297088599</c:v>
                </c:pt>
                <c:pt idx="22">
                  <c:v>4759.555234418126</c:v>
                </c:pt>
                <c:pt idx="23">
                  <c:v>5035.432718054376</c:v>
                </c:pt>
                <c:pt idx="24">
                  <c:v>5325.0776219626423</c:v>
                </c:pt>
                <c:pt idx="25">
                  <c:v>5629.0574013142132</c:v>
                </c:pt>
                <c:pt idx="26">
                  <c:v>5947.9573751218859</c:v>
                </c:pt>
                <c:pt idx="27">
                  <c:v>6282.3810768517806</c:v>
                </c:pt>
                <c:pt idx="28">
                  <c:v>6632.9506054678623</c:v>
                </c:pt>
                <c:pt idx="29">
                  <c:v>7000.3069767449479</c:v>
                </c:pt>
                <c:pt idx="30">
                  <c:v>7385.110474686081</c:v>
                </c:pt>
                <c:pt idx="31">
                  <c:v>7788.0410028799579</c:v>
                </c:pt>
                <c:pt idx="32">
                  <c:v>8209.7984356344841</c:v>
                </c:pt>
                <c:pt idx="33">
                  <c:v>8651.1029687229584</c:v>
                </c:pt>
                <c:pt idx="34">
                  <c:v>9112.6954695795321</c:v>
                </c:pt>
                <c:pt idx="35">
                  <c:v>9595.3378267816952</c:v>
                </c:pt>
                <c:pt idx="36">
                  <c:v>10099.813298658821</c:v>
                </c:pt>
                <c:pt idx="37">
                  <c:v>10626.926860865749</c:v>
                </c:pt>
                <c:pt idx="38">
                  <c:v>11177.505552762532</c:v>
                </c:pt>
                <c:pt idx="39">
                  <c:v>11752.398822442739</c:v>
                </c:pt>
                <c:pt idx="40">
                  <c:v>12352.478870253733</c:v>
                </c:pt>
                <c:pt idx="41">
                  <c:v>12978.640990654945</c:v>
                </c:pt>
                <c:pt idx="42">
                  <c:v>13631.803912260628</c:v>
                </c:pt>
                <c:pt idx="43">
                  <c:v>14312.910135916738</c:v>
                </c:pt>
                <c:pt idx="44">
                  <c:v>15022.926270663513</c:v>
                </c:pt>
                <c:pt idx="45">
                  <c:v>15762.843367436964</c:v>
                </c:pt>
                <c:pt idx="46">
                  <c:v>16533.677250365017</c:v>
                </c:pt>
                <c:pt idx="47">
                  <c:v>17336.468845517389</c:v>
                </c:pt>
                <c:pt idx="48">
                  <c:v>18172.284506969376</c:v>
                </c:pt>
                <c:pt idx="49">
                  <c:v>19042.216340044048</c:v>
                </c:pt>
                <c:pt idx="50">
                  <c:v>19947.382521598636</c:v>
                </c:pt>
                <c:pt idx="51">
                  <c:v>20888.927617225192</c:v>
                </c:pt>
                <c:pt idx="52">
                  <c:v>21868.022895237402</c:v>
                </c:pt>
                <c:pt idx="53">
                  <c:v>22885.866637319985</c:v>
                </c:pt>
                <c:pt idx="54">
                  <c:v>23943.6844457179</c:v>
                </c:pt>
                <c:pt idx="55">
                  <c:v>25042.729546849547</c:v>
                </c:pt>
                <c:pt idx="56">
                  <c:v>26184.28309122688</c:v>
                </c:pt>
                <c:pt idx="57">
                  <c:v>27369.654449574002</c:v>
                </c:pt>
                <c:pt idx="58">
                  <c:v>28600.181505033463</c:v>
                </c:pt>
                <c:pt idx="59">
                  <c:v>29877.230941358961</c:v>
                </c:pt>
                <c:pt idx="60">
                  <c:v>31202.198526991768</c:v>
                </c:pt>
                <c:pt idx="61">
                  <c:v>32576.509394925415</c:v>
                </c:pt>
                <c:pt idx="62">
                  <c:v>34001.618318264256</c:v>
                </c:pt>
                <c:pt idx="63">
                  <c:v>35479.009981387564</c:v>
                </c:pt>
                <c:pt idx="64">
                  <c:v>37010.199246632306</c:v>
                </c:pt>
                <c:pt idx="65">
                  <c:v>38596.73141641367</c:v>
                </c:pt>
                <c:pt idx="66">
                  <c:v>40240.18249070453</c:v>
                </c:pt>
                <c:pt idx="67">
                  <c:v>41942.159419800329</c:v>
                </c:pt>
                <c:pt idx="68">
                  <c:v>43704.300352297949</c:v>
                </c:pt>
                <c:pt idx="69">
                  <c:v>45528.274878223747</c:v>
                </c:pt>
                <c:pt idx="70">
                  <c:v>47415.78426724521</c:v>
                </c:pt>
                <c:pt idx="71">
                  <c:v>49368.561701911945</c:v>
                </c:pt>
                <c:pt idx="72">
                  <c:v>51388.372505865787</c:v>
                </c:pt>
                <c:pt idx="73">
                  <c:v>53477.014366974297</c:v>
                </c:pt>
                <c:pt idx="74">
                  <c:v>55636.317555334819</c:v>
                </c:pt>
                <c:pt idx="75">
                  <c:v>57868.145136113359</c:v>
                </c:pt>
                <c:pt idx="76">
                  <c:v>60174.393177169317</c:v>
                </c:pt>
                <c:pt idx="77">
                  <c:v>62556.990951439606</c:v>
                </c:pt>
                <c:pt idx="78">
                  <c:v>65017.901134043626</c:v>
                </c:pt>
                <c:pt idx="79">
                  <c:v>67559.119994084598</c:v>
                </c:pt>
                <c:pt idx="80">
                  <c:v>70182.677581120894</c:v>
                </c:pt>
                <c:pt idx="81">
                  <c:v>72890.637906289034</c:v>
                </c:pt>
                <c:pt idx="82">
                  <c:v>75685.099118056984</c:v>
                </c:pt>
                <c:pt idx="83">
                  <c:v>78568.193672599766</c:v>
                </c:pt>
                <c:pt idx="84">
                  <c:v>81542.088498782337</c:v>
                </c:pt>
                <c:pt idx="85">
                  <c:v>84608.985157747462</c:v>
                </c:pt>
                <c:pt idx="86">
                  <c:v>87771.119997102156</c:v>
                </c:pt>
                <c:pt idx="87">
                  <c:v>91030.764299705741</c:v>
                </c:pt>
                <c:pt idx="88">
                  <c:v>94390.224427063353</c:v>
                </c:pt>
                <c:pt idx="89">
                  <c:v>97851.841957327822</c:v>
                </c:pt>
                <c:pt idx="90">
                  <c:v>101417.99381792783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75-4DAE-9ABA-76119811271F}"/>
            </c:ext>
          </c:extLst>
        </c:ser>
        <c:ser>
          <c:idx val="1"/>
          <c:order val="1"/>
          <c:tx>
            <c:strRef>
              <c:f>'Adsorption - Volumetric'!$D$14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Volumetric'!$D$17:$D$107</c:f>
              <c:numCache>
                <c:formatCode>General</c:formatCode>
                <c:ptCount val="91"/>
                <c:pt idx="0">
                  <c:v>0.62342367923455821</c:v>
                </c:pt>
                <c:pt idx="1">
                  <c:v>0.68502107227744435</c:v>
                </c:pt>
                <c:pt idx="2">
                  <c:v>0.75224365285273675</c:v>
                </c:pt>
                <c:pt idx="3">
                  <c:v>0.8255602494640879</c:v>
                </c:pt>
                <c:pt idx="4">
                  <c:v>0.90547480325441576</c:v>
                </c:pt>
                <c:pt idx="5">
                  <c:v>0.99252868132937444</c:v>
                </c:pt>
                <c:pt idx="6">
                  <c:v>1.0873031198661516</c:v>
                </c:pt>
                <c:pt idx="7">
                  <c:v>1.1904218028673732</c:v>
                </c:pt>
                <c:pt idx="8">
                  <c:v>1.3025535826081127</c:v>
                </c:pt>
                <c:pt idx="9">
                  <c:v>1.4244153480156485</c:v>
                </c:pt>
                <c:pt idx="10">
                  <c:v>1.5567750474139976</c:v>
                </c:pt>
                <c:pt idx="11">
                  <c:v>1.700454872263008</c:v>
                </c:pt>
                <c:pt idx="12">
                  <c:v>1.8563346087187822</c:v>
                </c:pt>
                <c:pt idx="13">
                  <c:v>2.0253551640447438</c:v>
                </c:pt>
                <c:pt idx="14">
                  <c:v>2.2085222751045106</c:v>
                </c:pt>
                <c:pt idx="15">
                  <c:v>2.4069104063740507</c:v>
                </c:pt>
                <c:pt idx="16">
                  <c:v>2.6216668451179155</c:v>
                </c:pt>
                <c:pt idx="17">
                  <c:v>2.8540160015838687</c:v>
                </c:pt>
                <c:pt idx="18">
                  <c:v>3.1052639222810234</c:v>
                </c:pt>
                <c:pt idx="19">
                  <c:v>3.3768030246209966</c:v>
                </c:pt>
                <c:pt idx="20">
                  <c:v>3.6701170614155356</c:v>
                </c:pt>
                <c:pt idx="21">
                  <c:v>3.9867863239399139</c:v>
                </c:pt>
                <c:pt idx="22">
                  <c:v>4.3284930924919456</c:v>
                </c:pt>
                <c:pt idx="23">
                  <c:v>4.6970273435918122</c:v>
                </c:pt>
                <c:pt idx="24">
                  <c:v>5.0942927231925301</c:v>
                </c:pt>
                <c:pt idx="25">
                  <c:v>5.5223127954894</c:v>
                </c:pt>
                <c:pt idx="26">
                  <c:v>5.9832375771412076</c:v>
                </c:pt>
                <c:pt idx="27">
                  <c:v>6.4793503669399284</c:v>
                </c:pt>
                <c:pt idx="28">
                  <c:v>7.0130748811887935</c:v>
                </c:pt>
                <c:pt idx="29">
                  <c:v>7.5869827052753687</c:v>
                </c:pt>
                <c:pt idx="30">
                  <c:v>8.2038010721512151</c:v>
                </c:pt>
                <c:pt idx="31">
                  <c:v>8.8664209786576205</c:v>
                </c:pt>
                <c:pt idx="32">
                  <c:v>9.5779056508609628</c:v>
                </c:pt>
                <c:pt idx="33">
                  <c:v>10.34149936979234</c:v>
                </c:pt>
                <c:pt idx="34">
                  <c:v>11.160636669211017</c:v>
                </c:pt>
                <c:pt idx="35">
                  <c:v>12.038951917237828</c:v>
                </c:pt>
                <c:pt idx="36">
                  <c:v>12.980289293937341</c:v>
                </c:pt>
                <c:pt idx="37">
                  <c:v>13.988713177148474</c:v>
                </c:pt>
                <c:pt idx="38">
                  <c:v>15.0685189490956</c:v>
                </c:pt>
                <c:pt idx="39">
                  <c:v>16.224244236538365</c:v>
                </c:pt>
                <c:pt idx="40">
                  <c:v>17.460680597443435</c:v>
                </c:pt>
                <c:pt idx="41">
                  <c:v>18.782885667391916</c:v>
                </c:pt>
                <c:pt idx="42">
                  <c:v>20.19619577915595</c:v>
                </c:pt>
                <c:pt idx="43">
                  <c:v>21.706239069112137</c:v>
                </c:pt>
                <c:pt idx="44">
                  <c:v>23.318949084375088</c:v>
                </c:pt>
                <c:pt idx="45">
                  <c:v>25.040578904767521</c:v>
                </c:pt>
                <c:pt idx="46">
                  <c:v>26.877715793958771</c:v>
                </c:pt>
                <c:pt idx="47">
                  <c:v>28.837296394333944</c:v>
                </c:pt>
                <c:pt idx="48">
                  <c:v>30.926622480369737</c:v>
                </c:pt>
                <c:pt idx="49">
                  <c:v>33.153377285527299</c:v>
                </c:pt>
                <c:pt idx="50">
                  <c:v>35.525642417869292</c:v>
                </c:pt>
                <c:pt idx="51">
                  <c:v>38.051915379860361</c:v>
                </c:pt>
                <c:pt idx="52">
                  <c:v>40.741127707994508</c:v>
                </c:pt>
                <c:pt idx="53">
                  <c:v>43.602663748138639</c:v>
                </c:pt>
                <c:pt idx="54">
                  <c:v>46.646380082672501</c:v>
                </c:pt>
                <c:pt idx="55">
                  <c:v>49.882625625748879</c:v>
                </c:pt>
                <c:pt idx="56">
                  <c:v>53.322262403183814</c:v>
                </c:pt>
                <c:pt idx="57">
                  <c:v>56.976687033716743</c:v>
                </c:pt>
                <c:pt idx="58">
                  <c:v>60.857852928594326</c:v>
                </c:pt>
                <c:pt idx="59">
                  <c:v>64.978293226627613</c:v>
                </c:pt>
                <c:pt idx="60">
                  <c:v>69.351144482100025</c:v>
                </c:pt>
                <c:pt idx="61">
                  <c:v>73.990171123105327</c:v>
                </c:pt>
                <c:pt idx="62">
                  <c:v>78.909790698096685</c:v>
                </c:pt>
                <c:pt idx="63">
                  <c:v>84.125099928648055</c:v>
                </c:pt>
                <c:pt idx="64">
                  <c:v>89.651901586632889</c:v>
                </c:pt>
                <c:pt idx="65">
                  <c:v>95.506732214220904</c:v>
                </c:pt>
                <c:pt idx="66">
                  <c:v>101.70689070530746</c:v>
                </c:pt>
                <c:pt idx="67">
                  <c:v>108.27046776721014</c:v>
                </c:pt>
                <c:pt idx="68">
                  <c:v>115.21637628162863</c:v>
                </c:pt>
                <c:pt idx="69">
                  <c:v>122.56438258412167</c:v>
                </c:pt>
                <c:pt idx="70">
                  <c:v>130.33513868151366</c:v>
                </c:pt>
                <c:pt idx="71">
                  <c:v>138.55021542688377</c:v>
                </c:pt>
                <c:pt idx="72">
                  <c:v>147.23213667194901</c:v>
                </c:pt>
                <c:pt idx="73">
                  <c:v>156.40441441691675</c:v>
                </c:pt>
                <c:pt idx="74">
                  <c:v>166.09158497801616</c:v>
                </c:pt>
                <c:pt idx="75">
                  <c:v>176.31924619319756</c:v>
                </c:pt>
                <c:pt idx="76">
                  <c:v>187.11409568662</c:v>
                </c:pt>
                <c:pt idx="77">
                  <c:v>198.50397021279068</c:v>
                </c:pt>
                <c:pt idx="78">
                  <c:v>210.51788610146048</c:v>
                </c:pt>
                <c:pt idx="79">
                  <c:v>223.18608082447923</c:v>
                </c:pt>
                <c:pt idx="80">
                  <c:v>236.54005570616519</c:v>
                </c:pt>
                <c:pt idx="81">
                  <c:v>250.61261979882227</c:v>
                </c:pt>
                <c:pt idx="82">
                  <c:v>265.43793494533315</c:v>
                </c:pt>
                <c:pt idx="83">
                  <c:v>281.05156205095147</c:v>
                </c:pt>
                <c:pt idx="84">
                  <c:v>297.49050858659109</c:v>
                </c:pt>
                <c:pt idx="85">
                  <c:v>314.79327734618772</c:v>
                </c:pt>
                <c:pt idx="86">
                  <c:v>332.99991648089463</c:v>
                </c:pt>
                <c:pt idx="87">
                  <c:v>352.15207083308928</c:v>
                </c:pt>
                <c:pt idx="88">
                  <c:v>372.2930345934397</c:v>
                </c:pt>
                <c:pt idx="89">
                  <c:v>393.46780530441941</c:v>
                </c:pt>
                <c:pt idx="90">
                  <c:v>415.72313923399861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5-4DAE-9ABA-76119811271F}"/>
            </c:ext>
          </c:extLst>
        </c:ser>
        <c:ser>
          <c:idx val="2"/>
          <c:order val="2"/>
          <c:tx>
            <c:strRef>
              <c:f>'Adsorption - Volumetric'!$E$14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Volumetric'!$E$17:$E$107</c:f>
              <c:numCache>
                <c:formatCode>General</c:formatCode>
                <c:ptCount val="91"/>
                <c:pt idx="0">
                  <c:v>8.1256850137026113</c:v>
                </c:pt>
                <c:pt idx="1">
                  <c:v>8.8452245117029804</c:v>
                </c:pt>
                <c:pt idx="2">
                  <c:v>9.6227662493595592</c:v>
                </c:pt>
                <c:pt idx="3">
                  <c:v>10.462496559807155</c:v>
                </c:pt>
                <c:pt idx="4">
                  <c:v>11.368866311344288</c:v>
                </c:pt>
                <c:pt idx="5">
                  <c:v>12.346605048911396</c:v>
                </c:pt>
                <c:pt idx="6">
                  <c:v>13.400735737319527</c:v>
                </c:pt>
                <c:pt idx="7">
                  <c:v>14.53659012396866</c:v>
                </c:pt>
                <c:pt idx="8">
                  <c:v>15.759824738983644</c:v>
                </c:pt>
                <c:pt idx="9">
                  <c:v>17.076437550884616</c:v>
                </c:pt>
                <c:pt idx="10">
                  <c:v>18.492785296082332</c:v>
                </c:pt>
                <c:pt idx="11">
                  <c:v>20.015601500651407</c:v>
                </c:pt>
                <c:pt idx="12">
                  <c:v>21.652015212995156</c:v>
                </c:pt>
                <c:pt idx="13">
                  <c:v>23.409570466156101</c:v>
                </c:pt>
                <c:pt idx="14">
                  <c:v>25.296246488666448</c:v>
                </c:pt>
                <c:pt idx="15">
                  <c:v>27.320478682950583</c:v>
                </c:pt>
                <c:pt idx="16">
                  <c:v>29.491180390415305</c:v>
                </c:pt>
                <c:pt idx="17">
                  <c:v>31.817765462457832</c:v>
                </c:pt>
                <c:pt idx="18">
                  <c:v>34.310171656719646</c:v>
                </c:pt>
                <c:pt idx="19">
                  <c:v>36.978884877995078</c:v>
                </c:pt>
                <c:pt idx="20">
                  <c:v>39.834964283274502</c:v>
                </c:pt>
                <c:pt idx="21">
                  <c:v>42.890068270456197</c:v>
                </c:pt>
                <c:pt idx="22">
                  <c:v>46.156481370323057</c:v>
                </c:pt>
                <c:pt idx="23">
                  <c:v>49.647142061397673</c:v>
                </c:pt>
                <c:pt idx="24">
                  <c:v>53.375671527337758</c:v>
                </c:pt>
                <c:pt idx="25">
                  <c:v>57.356403376530139</c:v>
                </c:pt>
                <c:pt idx="26">
                  <c:v>61.604414343554282</c:v>
                </c:pt>
                <c:pt idx="27">
                  <c:v>66.135555992181708</c:v>
                </c:pt>
                <c:pt idx="28">
                  <c:v>70.966487439552552</c:v>
                </c:pt>
                <c:pt idx="29">
                  <c:v>76.11470912114558</c:v>
                </c:pt>
                <c:pt idx="30">
                  <c:v>81.59859761611645</c:v>
                </c:pt>
                <c:pt idx="31">
                  <c:v>87.437441552527545</c:v>
                </c:pt>
                <c:pt idx="32">
                  <c:v>93.651478611939694</c:v>
                </c:pt>
                <c:pt idx="33">
                  <c:v>100.26193365274747</c:v>
                </c:pt>
                <c:pt idx="34">
                  <c:v>107.29105797157654</c:v>
                </c:pt>
                <c:pt idx="35">
                  <c:v>114.76216972195078</c:v>
                </c:pt>
                <c:pt idx="36">
                  <c:v>122.69969550936425</c:v>
                </c:pt>
                <c:pt idx="37">
                  <c:v>131.12921318173497</c:v>
                </c:pt>
                <c:pt idx="38">
                  <c:v>140.07749583414648</c:v>
                </c:pt>
                <c:pt idx="39">
                  <c:v>149.57255704662575</c:v>
                </c:pt>
                <c:pt idx="40">
                  <c:v>159.64369737355602</c:v>
                </c:pt>
                <c:pt idx="41">
                  <c:v>170.32155210321784</c:v>
                </c:pt>
                <c:pt idx="42">
                  <c:v>181.63814030574571</c:v>
                </c:pt>
                <c:pt idx="43">
                  <c:v>193.62691518765982</c:v>
                </c:pt>
                <c:pt idx="44">
                  <c:v>206.32281577093829</c:v>
                </c:pt>
                <c:pt idx="45">
                  <c:v>219.76231991443657</c:v>
                </c:pt>
                <c:pt idx="46">
                  <c:v>233.98349869526041</c:v>
                </c:pt>
                <c:pt idx="47">
                  <c:v>249.02607216749411</c:v>
                </c:pt>
                <c:pt idx="48">
                  <c:v>264.93146651553087</c:v>
                </c:pt>
                <c:pt idx="49">
                  <c:v>281.74287261899275</c:v>
                </c:pt>
                <c:pt idx="50">
                  <c:v>299.5053060460499</c:v>
                </c:pt>
                <c:pt idx="51">
                  <c:v>318.26566849173679</c:v>
                </c:pt>
                <c:pt idx="52">
                  <c:v>338.0728106776042</c:v>
                </c:pt>
                <c:pt idx="53">
                  <c:v>358.97759672889924</c:v>
                </c:pt>
                <c:pt idx="54">
                  <c:v>381.03297004510688</c:v>
                </c:pt>
                <c:pt idx="55">
                  <c:v>404.29402067962815</c:v>
                </c:pt>
                <c:pt idx="56">
                  <c:v>428.81805424395009</c:v>
                </c:pt>
                <c:pt idx="57">
                  <c:v>454.66466235159862</c:v>
                </c:pt>
                <c:pt idx="58">
                  <c:v>481.89579461675982</c:v>
                </c:pt>
                <c:pt idx="59">
                  <c:v>510.57583222237872</c:v>
                </c:pt>
                <c:pt idx="60">
                  <c:v>540.77166307214668</c:v>
                </c:pt>
                <c:pt idx="61">
                  <c:v>572.55275854066804</c:v>
                </c:pt>
                <c:pt idx="62">
                  <c:v>605.99125183578371</c:v>
                </c:pt>
                <c:pt idx="63">
                  <c:v>641.16201798679708</c:v>
                </c:pt>
                <c:pt idx="64">
                  <c:v>678.14275547212446</c:v>
                </c:pt>
                <c:pt idx="65">
                  <c:v>717.01406949965633</c:v>
                </c:pt>
                <c:pt idx="66">
                  <c:v>757.85955695279006</c:v>
                </c:pt>
                <c:pt idx="67">
                  <c:v>800.76589301502577</c:v>
                </c:pt>
                <c:pt idx="68">
                  <c:v>845.82291948559055</c:v>
                </c:pt>
                <c:pt idx="69">
                  <c:v>893.12373479846087</c:v>
                </c:pt>
                <c:pt idx="70">
                  <c:v>942.76478575685769</c:v>
                </c:pt>
                <c:pt idx="71">
                  <c:v>994.84596099510884</c:v>
                </c:pt>
                <c:pt idx="72">
                  <c:v>1049.4706861794823</c:v>
                </c:pt>
                <c:pt idx="73">
                  <c:v>1106.7460209594856</c:v>
                </c:pt>
                <c:pt idx="74">
                  <c:v>1166.7827576807629</c:v>
                </c:pt>
                <c:pt idx="75">
                  <c:v>1229.6955218707531</c:v>
                </c:pt>
                <c:pt idx="76">
                  <c:v>1295.602874507762</c:v>
                </c:pt>
                <c:pt idx="77">
                  <c:v>1364.6274160841956</c:v>
                </c:pt>
                <c:pt idx="78">
                  <c:v>1436.8958924743974</c:v>
                </c:pt>
                <c:pt idx="79">
                  <c:v>1512.5393026172969</c:v>
                </c:pt>
                <c:pt idx="80">
                  <c:v>1591.6930080240422</c:v>
                </c:pt>
                <c:pt idx="81">
                  <c:v>1674.4968441205413</c:v>
                </c:pt>
                <c:pt idx="82">
                  <c:v>1761.095233434695</c:v>
                </c:pt>
                <c:pt idx="83">
                  <c:v>1851.6373006380447</c:v>
                </c:pt>
                <c:pt idx="84">
                  <c:v>1946.2769894512494</c:v>
                </c:pt>
                <c:pt idx="85">
                  <c:v>2045.1731814230068</c:v>
                </c:pt>
                <c:pt idx="86">
                  <c:v>2148.4898165914428</c:v>
                </c:pt>
                <c:pt idx="87">
                  <c:v>2256.396016037515</c:v>
                </c:pt>
                <c:pt idx="88">
                  <c:v>2369.0662063393011</c:v>
                </c:pt>
                <c:pt idx="89">
                  <c:v>2486.6802459362921</c:v>
                </c:pt>
                <c:pt idx="90">
                  <c:v>2609.4235534128325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5-4DAE-9ABA-76119811271F}"/>
            </c:ext>
          </c:extLst>
        </c:ser>
        <c:ser>
          <c:idx val="3"/>
          <c:order val="3"/>
          <c:tx>
            <c:strRef>
              <c:f>'Adsorption - Volumetric'!$F$14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Volumetric'!$F$17:$F$107</c:f>
              <c:numCache>
                <c:formatCode>General</c:formatCode>
                <c:ptCount val="91"/>
                <c:pt idx="0">
                  <c:v>25.499486474532606</c:v>
                </c:pt>
                <c:pt idx="1">
                  <c:v>27.642297152950835</c:v>
                </c:pt>
                <c:pt idx="2">
                  <c:v>29.947713199262189</c:v>
                </c:pt>
                <c:pt idx="3">
                  <c:v>32.426667172804855</c:v>
                </c:pt>
                <c:pt idx="4">
                  <c:v>35.090725471745515</c:v>
                </c:pt>
                <c:pt idx="5">
                  <c:v>37.952118656951903</c:v>
                </c:pt>
                <c:pt idx="6">
                  <c:v>41.023772874127509</c:v>
                </c:pt>
                <c:pt idx="7">
                  <c:v>44.319342397786407</c:v>
                </c:pt>
                <c:pt idx="8">
                  <c:v>47.853243320543619</c:v>
                </c:pt>
                <c:pt idx="9">
                  <c:v>51.640688411086053</c:v>
                </c:pt>
                <c:pt idx="10">
                  <c:v>55.697723164044795</c:v>
                </c:pt>
                <c:pt idx="11">
                  <c:v>60.041263064832435</c:v>
                </c:pt>
                <c:pt idx="12">
                  <c:v>64.689132092330269</c:v>
                </c:pt>
                <c:pt idx="13">
                  <c:v>69.660102482116642</c:v>
                </c:pt>
                <c:pt idx="14">
                  <c:v>74.973935772698837</c:v>
                </c:pt>
                <c:pt idx="15">
                  <c:v>80.651425156978007</c:v>
                </c:pt>
                <c:pt idx="16">
                  <c:v>86.714439160926517</c:v>
                </c:pt>
                <c:pt idx="17">
                  <c:v>93.185966671166852</c:v>
                </c:pt>
                <c:pt idx="18">
                  <c:v>100.09016333285366</c:v>
                </c:pt>
                <c:pt idx="19">
                  <c:v>107.45239933895218</c:v>
                </c:pt>
                <c:pt idx="20">
                  <c:v>115.29930863166528</c:v>
                </c:pt>
                <c:pt idx="21">
                  <c:v>123.65883953641435</c:v>
                </c:pt>
                <c:pt idx="22">
                  <c:v>132.56030684843049</c:v>
                </c:pt>
                <c:pt idx="23">
                  <c:v>142.03444539159761</c:v>
                </c:pt>
                <c:pt idx="24">
                  <c:v>152.11346506883436</c:v>
                </c:pt>
                <c:pt idx="25">
                  <c:v>162.83110742284794</c:v>
                </c:pt>
                <c:pt idx="26">
                  <c:v>174.2227037256869</c:v>
                </c:pt>
                <c:pt idx="27">
                  <c:v>186.32523461508387</c:v>
                </c:pt>
                <c:pt idx="28">
                  <c:v>199.17739129510417</c:v>
                </c:pt>
                <c:pt idx="29">
                  <c:v>212.81963831816003</c:v>
                </c:pt>
                <c:pt idx="30">
                  <c:v>227.29427796497197</c:v>
                </c:pt>
                <c:pt idx="31">
                  <c:v>242.64551623855166</c:v>
                </c:pt>
                <c:pt idx="32">
                  <c:v>258.919530487798</c:v>
                </c:pt>
                <c:pt idx="33">
                  <c:v>276.16453867577172</c:v>
                </c:pt>
                <c:pt idx="34">
                  <c:v>294.43087030718681</c:v>
                </c:pt>
                <c:pt idx="35">
                  <c:v>313.77103902912552</c:v>
                </c:pt>
                <c:pt idx="36">
                  <c:v>334.23981691847843</c:v>
                </c:pt>
                <c:pt idx="37">
                  <c:v>355.89431046899432</c:v>
                </c:pt>
                <c:pt idx="38">
                  <c:v>378.79403829033782</c:v>
                </c:pt>
                <c:pt idx="39">
                  <c:v>403.00101053095551</c:v>
                </c:pt>
                <c:pt idx="40">
                  <c:v>428.57981003599167</c:v>
                </c:pt>
                <c:pt idx="41">
                  <c:v>455.59767525095481</c:v>
                </c:pt>
                <c:pt idx="42">
                  <c:v>484.12458488119881</c:v>
                </c:pt>
                <c:pt idx="43">
                  <c:v>514.23334431677347</c:v>
                </c:pt>
                <c:pt idx="44">
                  <c:v>545.99967383159594</c:v>
                </c:pt>
                <c:pt idx="45">
                  <c:v>579.50229856531291</c:v>
                </c:pt>
                <c:pt idx="46">
                  <c:v>614.82304029562147</c:v>
                </c:pt>
                <c:pt idx="47">
                  <c:v>652.04691100831326</c:v>
                </c:pt>
                <c:pt idx="48">
                  <c:v>691.26220827162683</c:v>
                </c:pt>
                <c:pt idx="49">
                  <c:v>732.5606124210077</c:v>
                </c:pt>
                <c:pt idx="50">
                  <c:v>776.03728555974135</c:v>
                </c:pt>
                <c:pt idx="51">
                  <c:v>821.79097238039765</c:v>
                </c:pt>
                <c:pt idx="52">
                  <c:v>869.92410281141349</c:v>
                </c:pt>
                <c:pt idx="53">
                  <c:v>920.54289649265195</c:v>
                </c:pt>
                <c:pt idx="54">
                  <c:v>973.75746908310566</c:v>
                </c:pt>
                <c:pt idx="55">
                  <c:v>1029.681940403543</c:v>
                </c:pt>
                <c:pt idx="56">
                  <c:v>1088.4345444161024</c:v>
                </c:pt>
                <c:pt idx="57">
                  <c:v>1150.1377410426246</c:v>
                </c:pt>
                <c:pt idx="58">
                  <c:v>1214.9183298226212</c:v>
                </c:pt>
                <c:pt idx="59">
                  <c:v>1282.9075654116589</c:v>
                </c:pt>
                <c:pt idx="60">
                  <c:v>1354.2412749200337</c:v>
                </c:pt>
                <c:pt idx="61">
                  <c:v>1429.0599770914919</c:v>
                </c:pt>
                <c:pt idx="62">
                  <c:v>1507.5090033209131</c:v>
                </c:pt>
                <c:pt idx="63">
                  <c:v>1589.7386205097605</c:v>
                </c:pt>
                <c:pt idx="64">
                  <c:v>1675.9041557572586</c:v>
                </c:pt>
                <c:pt idx="65">
                  <c:v>1766.1661228852167</c:v>
                </c:pt>
                <c:pt idx="66">
                  <c:v>1860.6903507935715</c:v>
                </c:pt>
                <c:pt idx="67">
                  <c:v>1959.6481136436998</c:v>
                </c:pt>
                <c:pt idx="68">
                  <c:v>2063.2162628657979</c:v>
                </c:pt>
                <c:pt idx="69">
                  <c:v>2171.5773609865314</c:v>
                </c:pt>
                <c:pt idx="70">
                  <c:v>2284.9198172724796</c:v>
                </c:pt>
                <c:pt idx="71">
                  <c:v>2403.4380251849643</c:v>
                </c:pt>
                <c:pt idx="72">
                  <c:v>2527.332501640919</c:v>
                </c:pt>
                <c:pt idx="73">
                  <c:v>2656.8100280748267</c:v>
                </c:pt>
                <c:pt idx="74">
                  <c:v>2792.0837932957543</c:v>
                </c:pt>
                <c:pt idx="75">
                  <c:v>2933.3735381338975</c:v>
                </c:pt>
                <c:pt idx="76">
                  <c:v>3080.9057018701419</c:v>
                </c:pt>
                <c:pt idx="77">
                  <c:v>3234.9135704423675</c:v>
                </c:pt>
                <c:pt idx="78">
                  <c:v>3395.637426421787</c:v>
                </c:pt>
                <c:pt idx="79">
                  <c:v>3563.3247007524469</c:v>
                </c:pt>
                <c:pt idx="80">
                  <c:v>3738.2301262467568</c:v>
                </c:pt>
                <c:pt idx="81">
                  <c:v>3920.6158928298851</c:v>
                </c:pt>
                <c:pt idx="82">
                  <c:v>4110.7518045255238</c:v>
                </c:pt>
                <c:pt idx="83">
                  <c:v>4308.9154381756061</c:v>
                </c:pt>
                <c:pt idx="84">
                  <c:v>4515.392303886204</c:v>
                </c:pt>
                <c:pt idx="85">
                  <c:v>4730.4760071920446</c:v>
                </c:pt>
                <c:pt idx="86">
                  <c:v>4954.4684129317175</c:v>
                </c:pt>
                <c:pt idx="87">
                  <c:v>5187.6798108257526</c:v>
                </c:pt>
                <c:pt idx="88">
                  <c:v>5430.4290827499608</c:v>
                </c:pt>
                <c:pt idx="89">
                  <c:v>5683.0438716956205</c:v>
                </c:pt>
                <c:pt idx="90">
                  <c:v>5945.8607524094341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75-4DAE-9ABA-76119811271F}"/>
            </c:ext>
          </c:extLst>
        </c:ser>
        <c:ser>
          <c:idx val="4"/>
          <c:order val="4"/>
          <c:tx>
            <c:strRef>
              <c:f>'Adsorption - Volumetric'!$G$14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Volumetric'!$G$17:$G$107</c:f>
              <c:numCache>
                <c:formatCode>General</c:formatCode>
                <c:ptCount val="91"/>
                <c:pt idx="0">
                  <c:v>48.893508506128811</c:v>
                </c:pt>
                <c:pt idx="1">
                  <c:v>52.877162016093195</c:v>
                </c:pt>
                <c:pt idx="2">
                  <c:v>57.152451109798903</c:v>
                </c:pt>
                <c:pt idx="3">
                  <c:v>61.738166425582904</c:v>
                </c:pt>
                <c:pt idx="4">
                  <c:v>66.654132273519835</c:v>
                </c:pt>
                <c:pt idx="5">
                  <c:v>71.921252751253789</c:v>
                </c:pt>
                <c:pt idx="6">
                  <c:v>77.561559357916053</c:v>
                </c:pt>
                <c:pt idx="7">
                  <c:v>83.598260130653586</c:v>
                </c:pt>
                <c:pt idx="8">
                  <c:v>90.055790327831545</c:v>
                </c:pt>
                <c:pt idx="9">
                  <c:v>96.959864682524142</c:v>
                </c:pt>
                <c:pt idx="10">
                  <c:v>104.33753124939015</c:v>
                </c:pt>
                <c:pt idx="11">
                  <c:v>112.21722686751936</c:v>
                </c:pt>
                <c:pt idx="12">
                  <c:v>120.62883426128491</c:v>
                </c:pt>
                <c:pt idx="13">
                  <c:v>129.60374080067479</c:v>
                </c:pt>
                <c:pt idx="14">
                  <c:v>139.17489894197487</c:v>
                </c:pt>
                <c:pt idx="15">
                  <c:v>149.37688836905747</c:v>
                </c:pt>
                <c:pt idx="16">
                  <c:v>160.24597985491241</c:v>
                </c:pt>
                <c:pt idx="17">
                  <c:v>171.8202008623835</c:v>
                </c:pt>
                <c:pt idx="18">
                  <c:v>184.13940290239975</c:v>
                </c:pt>
                <c:pt idx="19">
                  <c:v>197.24533066730916</c:v>
                </c:pt>
                <c:pt idx="20">
                  <c:v>211.18169295619629</c:v>
                </c:pt>
                <c:pt idx="21">
                  <c:v>225.99423540834076</c:v>
                </c:pt>
                <c:pt idx="22">
                  <c:v>241.73081506024451</c:v>
                </c:pt>
                <c:pt idx="23">
                  <c:v>258.44147674086008</c:v>
                </c:pt>
                <c:pt idx="24">
                  <c:v>276.17853131893133</c:v>
                </c:pt>
                <c:pt idx="25">
                  <c:v>294.99663581552647</c:v>
                </c:pt>
                <c:pt idx="26">
                  <c:v>314.95287539406939</c:v>
                </c:pt>
                <c:pt idx="27">
                  <c:v>336.10684723936583</c:v>
                </c:pt>
                <c:pt idx="28">
                  <c:v>358.52074633631457</c:v>
                </c:pt>
                <c:pt idx="29">
                  <c:v>382.25945315813152</c:v>
                </c:pt>
                <c:pt idx="30">
                  <c:v>407.39062327314912</c:v>
                </c:pt>
                <c:pt idx="31">
                  <c:v>433.98477887833428</c:v>
                </c:pt>
                <c:pt idx="32">
                  <c:v>462.11540226690204</c:v>
                </c:pt>
                <c:pt idx="33">
                  <c:v>491.85903123651417</c:v>
                </c:pt>
                <c:pt idx="34">
                  <c:v>523.29535644370651</c:v>
                </c:pt>
                <c:pt idx="35">
                  <c:v>556.50732070933498</c:v>
                </c:pt>
                <c:pt idx="36">
                  <c:v>591.5812202790263</c:v>
                </c:pt>
                <c:pt idx="37">
                  <c:v>628.60680804169056</c:v>
                </c:pt>
                <c:pt idx="38">
                  <c:v>667.67739870836726</c:v>
                </c:pt>
                <c:pt idx="39">
                  <c:v>708.88997595281376</c:v>
                </c:pt>
                <c:pt idx="40">
                  <c:v>752.34530151438776</c:v>
                </c:pt>
                <c:pt idx="41">
                  <c:v>798.14802626299161</c:v>
                </c:pt>
                <c:pt idx="42">
                  <c:v>846.40680322491221</c:v>
                </c:pt>
                <c:pt idx="43">
                  <c:v>897.2344025676872</c:v>
                </c:pt>
                <c:pt idx="44">
                  <c:v>950.74782854126408</c:v>
                </c:pt>
                <c:pt idx="45">
                  <c:v>1007.0684383718799</c:v>
                </c:pt>
                <c:pt idx="46">
                  <c:v>1066.3220631043255</c:v>
                </c:pt>
                <c:pt idx="47">
                  <c:v>1128.6391303875203</c:v>
                </c:pt>
                <c:pt idx="48">
                  <c:v>1194.1547891974435</c:v>
                </c:pt>
                <c:pt idx="49">
                  <c:v>1263.009036490824</c:v>
                </c:pt>
                <c:pt idx="50">
                  <c:v>1335.3468457821605</c:v>
                </c:pt>
                <c:pt idx="51">
                  <c:v>1411.3182976359781</c:v>
                </c:pt>
                <c:pt idx="52">
                  <c:v>1491.0787120654334</c:v>
                </c:pt>
                <c:pt idx="53">
                  <c:v>1574.7887828278192</c:v>
                </c:pt>
                <c:pt idx="54">
                  <c:v>1662.6147136066188</c:v>
                </c:pt>
                <c:pt idx="55">
                  <c:v>1754.7283560694111</c:v>
                </c:pt>
                <c:pt idx="56">
                  <c:v>1851.3073497898843</c:v>
                </c:pt>
                <c:pt idx="57">
                  <c:v>1952.5352640220667</c:v>
                </c:pt>
                <c:pt idx="58">
                  <c:v>2058.6017413137602</c:v>
                </c:pt>
                <c:pt idx="59">
                  <c:v>2169.7026429460548</c:v>
                </c:pt>
                <c:pt idx="60">
                  <c:v>2286.0401961849057</c:v>
                </c:pt>
                <c:pt idx="61">
                  <c:v>2407.8231433304049</c:v>
                </c:pt>
                <c:pt idx="62">
                  <c:v>2535.2668925487237</c:v>
                </c:pt>
                <c:pt idx="63">
                  <c:v>2668.593670471384</c:v>
                </c:pt>
                <c:pt idx="64">
                  <c:v>2808.0326765458135</c:v>
                </c:pt>
                <c:pt idx="65">
                  <c:v>2953.8202391209388</c:v>
                </c:pt>
                <c:pt idx="66">
                  <c:v>3106.1999732509421</c:v>
                </c:pt>
                <c:pt idx="67">
                  <c:v>3265.4229402000906</c:v>
                </c:pt>
                <c:pt idx="68">
                  <c:v>3431.747808630942</c:v>
                </c:pt>
                <c:pt idx="69">
                  <c:v>3605.4410174582504</c:v>
                </c:pt>
                <c:pt idx="70">
                  <c:v>3786.7769403500288</c:v>
                </c:pt>
                <c:pt idx="71">
                  <c:v>3976.0380518576894</c:v>
                </c:pt>
                <c:pt idx="72">
                  <c:v>4173.5150951559735</c:v>
                </c:pt>
                <c:pt idx="73">
                  <c:v>4379.5072513741688</c:v>
                </c:pt>
                <c:pt idx="74">
                  <c:v>4594.3223104988556</c:v>
                </c:pt>
                <c:pt idx="75">
                  <c:v>4818.2768438293733</c:v>
                </c:pt>
                <c:pt idx="76">
                  <c:v>5051.6963779657326</c:v>
                </c:pt>
                <c:pt idx="77">
                  <c:v>5294.9155703099259</c:v>
                </c:pt>
                <c:pt idx="78">
                  <c:v>5548.2783860602767</c:v>
                </c:pt>
                <c:pt idx="79">
                  <c:v>5812.1382766794331</c:v>
                </c:pt>
                <c:pt idx="80">
                  <c:v>6086.8583598155901</c:v>
                </c:pt>
                <c:pt idx="81">
                  <c:v>6372.811600657471</c:v>
                </c:pt>
                <c:pt idx="82">
                  <c:v>6670.3809947026266</c:v>
                </c:pt>
                <c:pt idx="83">
                  <c:v>6979.9597519196259</c:v>
                </c:pt>
                <c:pt idx="84">
                  <c:v>7301.9514822839319</c:v>
                </c:pt>
                <c:pt idx="85">
                  <c:v>7636.7703826679426</c:v>
                </c:pt>
                <c:pt idx="86">
                  <c:v>7984.841425065365</c:v>
                </c:pt>
                <c:pt idx="87">
                  <c:v>8346.600546130674</c:v>
                </c:pt>
                <c:pt idx="88">
                  <c:v>8722.4948380142669</c:v>
                </c:pt>
                <c:pt idx="89">
                  <c:v>9112.9827404739535</c:v>
                </c:pt>
                <c:pt idx="90">
                  <c:v>9518.5342342444364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75-4DAE-9ABA-76119811271F}"/>
            </c:ext>
          </c:extLst>
        </c:ser>
        <c:ser>
          <c:idx val="5"/>
          <c:order val="5"/>
          <c:tx>
            <c:strRef>
              <c:f>'Adsorption - Volumetric'!$H$14</c:f>
              <c:strCache>
                <c:ptCount val="1"/>
                <c:pt idx="0">
                  <c:v>7.5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Volumetric'!$H$17:$H$107</c:f>
              <c:numCache>
                <c:formatCode>General</c:formatCode>
                <c:ptCount val="91"/>
                <c:pt idx="0">
                  <c:v>113.36980066632503</c:v>
                </c:pt>
                <c:pt idx="1">
                  <c:v>122.23415919820727</c:v>
                </c:pt>
                <c:pt idx="2">
                  <c:v>131.71700480688216</c:v>
                </c:pt>
                <c:pt idx="3">
                  <c:v>141.85596238699242</c:v>
                </c:pt>
                <c:pt idx="4">
                  <c:v>152.69058276679255</c:v>
                </c:pt>
                <c:pt idx="5">
                  <c:v>164.26242054835959</c:v>
                </c:pt>
                <c:pt idx="6">
                  <c:v>176.6151140884034</c:v>
                </c:pt>
                <c:pt idx="7">
                  <c:v>189.79446763861611</c:v>
                </c:pt>
                <c:pt idx="8">
                  <c:v>203.84853566329897</c:v>
                </c:pt>
                <c:pt idx="9">
                  <c:v>218.82770935089178</c:v>
                </c:pt>
                <c:pt idx="10">
                  <c:v>234.7848053347613</c:v>
                </c:pt>
                <c:pt idx="11">
                  <c:v>251.7751566374148</c:v>
                </c:pt>
                <c:pt idx="12">
                  <c:v>269.85670585104094</c:v>
                </c:pt>
                <c:pt idx="13">
                  <c:v>289.09010056603341</c:v>
                </c:pt>
                <c:pt idx="14">
                  <c:v>309.53879105784171</c:v>
                </c:pt>
                <c:pt idx="15">
                  <c:v>331.26913024119574</c:v>
                </c:pt>
                <c:pt idx="16">
                  <c:v>354.35047589946794</c:v>
                </c:pt>
                <c:pt idx="17">
                  <c:v>378.85529519558042</c:v>
                </c:pt>
                <c:pt idx="18">
                  <c:v>404.85927146952264</c:v>
                </c:pt>
                <c:pt idx="19">
                  <c:v>432.44141332623889</c:v>
                </c:pt>
                <c:pt idx="20">
                  <c:v>461.68416601626541</c:v>
                </c:pt>
                <c:pt idx="21">
                  <c:v>492.67352511012609</c:v>
                </c:pt>
                <c:pt idx="22">
                  <c:v>525.49915246621947</c:v>
                </c:pt>
                <c:pt idx="23">
                  <c:v>560.2544944904356</c:v>
                </c:pt>
                <c:pt idx="24">
                  <c:v>597.03690268454761</c:v>
                </c:pt>
                <c:pt idx="25">
                  <c:v>635.94775647894517</c:v>
                </c:pt>
                <c:pt idx="26">
                  <c:v>677.09258834395814</c:v>
                </c:pt>
                <c:pt idx="27">
                  <c:v>720.58121117273993</c:v>
                </c:pt>
                <c:pt idx="28">
                  <c:v>766.52784792726857</c:v>
                </c:pt>
                <c:pt idx="29">
                  <c:v>815.0512635377421</c:v>
                </c:pt>
                <c:pt idx="30">
                  <c:v>866.27489904433696</c:v>
                </c:pt>
                <c:pt idx="31">
                  <c:v>920.32700796896904</c:v>
                </c:pt>
                <c:pt idx="32">
                  <c:v>977.34079490347085</c:v>
                </c:pt>
                <c:pt idx="33">
                  <c:v>1037.4545562993014</c:v>
                </c:pt>
                <c:pt idx="34">
                  <c:v>1100.8118234426454</c:v>
                </c:pt>
                <c:pt idx="35">
                  <c:v>1167.561507597535</c:v>
                </c:pt>
                <c:pt idx="36">
                  <c:v>1237.8580472985423</c:v>
                </c:pt>
                <c:pt idx="37">
                  <c:v>1311.8615577731834</c:v>
                </c:pt>
                <c:pt idx="38">
                  <c:v>1389.7379824732193</c:v>
                </c:pt>
                <c:pt idx="39">
                  <c:v>1471.6592466928419</c:v>
                </c:pt>
                <c:pt idx="40">
                  <c:v>1557.8034132505757</c:v>
                </c:pt>
                <c:pt idx="41">
                  <c:v>1648.3548402108113</c:v>
                </c:pt>
                <c:pt idx="42">
                  <c:v>1743.5043406195955</c:v>
                </c:pt>
                <c:pt idx="43">
                  <c:v>1843.4493442285107</c:v>
                </c:pt>
                <c:pt idx="44">
                  <c:v>1948.394061179436</c:v>
                </c:pt>
                <c:pt idx="45">
                  <c:v>2058.5496476219632</c:v>
                </c:pt>
                <c:pt idx="46">
                  <c:v>2174.1343732343535</c:v>
                </c:pt>
                <c:pt idx="47">
                  <c:v>2295.373790618155</c:v>
                </c:pt>
                <c:pt idx="48">
                  <c:v>2422.5009065355407</c:v>
                </c:pt>
                <c:pt idx="49">
                  <c:v>2555.7563549578481</c:v>
                </c:pt>
                <c:pt idx="50">
                  <c:v>2695.3885718928414</c:v>
                </c:pt>
                <c:pt idx="51">
                  <c:v>2841.6539719576049</c:v>
                </c:pt>
                <c:pt idx="52">
                  <c:v>2994.8171266632176</c:v>
                </c:pt>
                <c:pt idx="53">
                  <c:v>3155.1509443767764</c:v>
                </c:pt>
                <c:pt idx="54">
                  <c:v>3322.9368519255268</c:v>
                </c:pt>
                <c:pt idx="55">
                  <c:v>3498.46497780765</c:v>
                </c:pt>
                <c:pt idx="56">
                  <c:v>3682.0343369731791</c:v>
                </c:pt>
                <c:pt idx="57">
                  <c:v>3873.9530171387391</c:v>
                </c:pt>
                <c:pt idx="58">
                  <c:v>4074.5383665984486</c:v>
                </c:pt>
                <c:pt idx="59">
                  <c:v>4284.1171834938632</c:v>
                </c:pt>
                <c:pt idx="60">
                  <c:v>4503.0259065046757</c:v>
                </c:pt>
                <c:pt idx="61">
                  <c:v>4731.6108069220636</c:v>
                </c:pt>
                <c:pt idx="62">
                  <c:v>4970.2281820660028</c:v>
                </c:pt>
                <c:pt idx="63">
                  <c:v>5219.2445500077993</c:v>
                </c:pt>
                <c:pt idx="64">
                  <c:v>5479.036845558705</c:v>
                </c:pt>
                <c:pt idx="65">
                  <c:v>5749.9926174855027</c:v>
                </c:pt>
                <c:pt idx="66">
                  <c:v>6032.5102269136578</c:v>
                </c:pt>
                <c:pt idx="67">
                  <c:v>6326.9990468787282</c:v>
                </c:pt>
                <c:pt idx="68">
                  <c:v>6633.8796629863637</c:v>
                </c:pt>
                <c:pt idx="69">
                  <c:v>6953.5840751417982</c:v>
                </c:pt>
                <c:pt idx="70">
                  <c:v>7286.555900308801</c:v>
                </c:pt>
                <c:pt idx="71">
                  <c:v>7633.2505762596866</c:v>
                </c:pt>
                <c:pt idx="72">
                  <c:v>7994.1355662759524</c:v>
                </c:pt>
                <c:pt idx="73">
                  <c:v>8369.690564761755</c:v>
                </c:pt>
                <c:pt idx="74">
                  <c:v>8760.4077037299739</c:v>
                </c:pt>
                <c:pt idx="75">
                  <c:v>9166.7917601238478</c:v>
                </c:pt>
                <c:pt idx="76">
                  <c:v>9589.3603639340581</c:v>
                </c:pt>
                <c:pt idx="77">
                  <c:v>10028.644207074631</c:v>
                </c:pt>
                <c:pt idx="78">
                  <c:v>10485.187252979098</c:v>
                </c:pt>
                <c:pt idx="79">
                  <c:v>10959.546946879953</c:v>
                </c:pt>
                <c:pt idx="80">
                  <c:v>11452.294426734354</c:v>
                </c:pt>
                <c:pt idx="81">
                  <c:v>11964.014734759787</c:v>
                </c:pt>
                <c:pt idx="82">
                  <c:v>12495.307029543261</c:v>
                </c:pt>
                <c:pt idx="83">
                  <c:v>13046.784798689358</c:v>
                </c:pt>
                <c:pt idx="84">
                  <c:v>13619.07607197134</c:v>
                </c:pt>
                <c:pt idx="85">
                  <c:v>14212.823634951857</c:v>
                </c:pt>
                <c:pt idx="86">
                  <c:v>14828.685243038872</c:v>
                </c:pt>
                <c:pt idx="87">
                  <c:v>15467.333835944226</c:v>
                </c:pt>
                <c:pt idx="88">
                  <c:v>16129.457752512537</c:v>
                </c:pt>
                <c:pt idx="89">
                  <c:v>16815.760945888029</c:v>
                </c:pt>
                <c:pt idx="90">
                  <c:v>17526.963198989692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75-4DAE-9ABA-76119811271F}"/>
            </c:ext>
          </c:extLst>
        </c:ser>
        <c:ser>
          <c:idx val="6"/>
          <c:order val="6"/>
          <c:tx>
            <c:strRef>
              <c:f>'Adsorption - Volumetric'!$I$14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Volumetric'!$I$17:$I$107</c:f>
              <c:numCache>
                <c:formatCode>General</c:formatCode>
                <c:ptCount val="91"/>
                <c:pt idx="0">
                  <c:v>172.777663195907</c:v>
                </c:pt>
                <c:pt idx="1">
                  <c:v>186.00433733067885</c:v>
                </c:pt>
                <c:pt idx="2">
                  <c:v>200.13131793048473</c:v>
                </c:pt>
                <c:pt idx="3">
                  <c:v>215.21176964623345</c:v>
                </c:pt>
                <c:pt idx="4">
                  <c:v>231.30147778650965</c:v>
                </c:pt>
                <c:pt idx="5">
                  <c:v>248.45894874691589</c:v>
                </c:pt>
                <c:pt idx="6">
                  <c:v>266.74551294476584</c:v>
                </c:pt>
                <c:pt idx="7">
                  <c:v>286.22543027048414</c:v>
                </c:pt>
                <c:pt idx="8">
                  <c:v>306.96599806538285</c:v>
                </c:pt>
                <c:pt idx="9">
                  <c:v>329.03766163392447</c:v>
                </c:pt>
                <c:pt idx="10">
                  <c:v>352.51412729685586</c:v>
                </c:pt>
                <c:pt idx="11">
                  <c:v>377.47247798995892</c:v>
                </c:pt>
                <c:pt idx="12">
                  <c:v>403.99329141146427</c:v>
                </c:pt>
                <c:pt idx="13">
                  <c:v>432.16076071951409</c:v>
                </c:pt>
                <c:pt idx="14">
                  <c:v>462.06281777931218</c:v>
                </c:pt>
                <c:pt idx="15">
                  <c:v>493.79125895789707</c:v>
                </c:pt>
                <c:pt idx="16">
                  <c:v>527.4418734628224</c:v>
                </c:pt>
                <c:pt idx="17">
                  <c:v>563.11457421925275</c:v>
                </c:pt>
                <c:pt idx="18">
                  <c:v>600.91353127828688</c:v>
                </c:pt>
                <c:pt idx="19">
                  <c:v>640.94730774766833</c:v>
                </c:pt>
                <c:pt idx="20">
                  <c:v>683.3289982342859</c:v>
                </c:pt>
                <c:pt idx="21">
                  <c:v>728.17636978620124</c:v>
                </c:pt>
                <c:pt idx="22">
                  <c:v>775.61200532031853</c:v>
                </c:pt>
                <c:pt idx="23">
                  <c:v>825.76344952003376</c:v>
                </c:pt>
                <c:pt idx="24">
                  <c:v>878.76335718570965</c:v>
                </c:pt>
                <c:pt idx="25">
                  <c:v>934.74964401907846</c:v>
                </c:pt>
                <c:pt idx="26">
                  <c:v>993.86563982109624</c:v>
                </c:pt>
                <c:pt idx="27">
                  <c:v>1056.2602440812518</c:v>
                </c:pt>
                <c:pt idx="28">
                  <c:v>1122.0880839347208</c:v>
                </c:pt>
                <c:pt idx="29">
                  <c:v>1191.5096744622228</c:v>
                </c:pt>
                <c:pt idx="30">
                  <c:v>1264.69158130599</c:v>
                </c:pt>
                <c:pt idx="31">
                  <c:v>1341.8065855737129</c:v>
                </c:pt>
                <c:pt idx="32">
                  <c:v>1423.0338510009874</c:v>
                </c:pt>
                <c:pt idx="33">
                  <c:v>1508.5590933413125</c:v>
                </c:pt>
                <c:pt idx="34">
                  <c:v>1598.5747519513313</c:v>
                </c:pt>
                <c:pt idx="35">
                  <c:v>1693.2801635376666</c:v>
                </c:pt>
                <c:pt idx="36">
                  <c:v>1792.8817380305575</c:v>
                </c:pt>
                <c:pt idx="37">
                  <c:v>1897.5931365479846</c:v>
                </c:pt>
                <c:pt idx="38">
                  <c:v>2007.6354514129939</c:v>
                </c:pt>
                <c:pt idx="39">
                  <c:v>2123.2373881856975</c:v>
                </c:pt>
                <c:pt idx="40">
                  <c:v>2244.6354496702374</c:v>
                </c:pt>
                <c:pt idx="41">
                  <c:v>2372.0741218561175</c:v>
                </c:pt>
                <c:pt idx="42">
                  <c:v>2505.8060617519541</c:v>
                </c:pt>
                <c:pt idx="43">
                  <c:v>2646.0922870690656</c:v>
                </c:pt>
                <c:pt idx="44">
                  <c:v>2793.2023677111933</c:v>
                </c:pt>
                <c:pt idx="45">
                  <c:v>2947.4146190258134</c:v>
                </c:pt>
                <c:pt idx="46">
                  <c:v>3109.0162967715719</c:v>
                </c:pt>
                <c:pt idx="47">
                  <c:v>3278.3037937558506</c:v>
                </c:pt>
                <c:pt idx="48">
                  <c:v>3455.5828380953612</c:v>
                </c:pt>
                <c:pt idx="49">
                  <c:v>3641.1686930523947</c:v>
                </c:pt>
                <c:pt idx="50">
                  <c:v>3835.3863583983298</c:v>
                </c:pt>
                <c:pt idx="51">
                  <c:v>4038.5707732557912</c:v>
                </c:pt>
                <c:pt idx="52">
                  <c:v>4251.0670203699792</c:v>
                </c:pt>
                <c:pt idx="53">
                  <c:v>4473.2305317596301</c:v>
                </c:pt>
                <c:pt idx="54">
                  <c:v>4705.4272956970581</c:v>
                </c:pt>
                <c:pt idx="55">
                  <c:v>4948.0340649671753</c:v>
                </c:pt>
                <c:pt idx="56">
                  <c:v>5201.4385663540961</c:v>
                </c:pt>
                <c:pt idx="57">
                  <c:v>5466.0397113047984</c:v>
                </c:pt>
                <c:pt idx="58">
                  <c:v>5742.2478077177984</c:v>
                </c:pt>
                <c:pt idx="59">
                  <c:v>6030.4847728060258</c:v>
                </c:pt>
                <c:pt idx="60">
                  <c:v>6331.184346981765</c:v>
                </c:pt>
                <c:pt idx="61">
                  <c:v>6644.7923087123954</c:v>
                </c:pt>
                <c:pt idx="62">
                  <c:v>6971.7666902949541</c:v>
                </c:pt>
                <c:pt idx="63">
                  <c:v>7312.577994498246</c:v>
                </c:pt>
                <c:pt idx="64">
                  <c:v>7667.7094120206584</c:v>
                </c:pt>
                <c:pt idx="65">
                  <c:v>8037.657039712627</c:v>
                </c:pt>
                <c:pt idx="66">
                  <c:v>8422.930099512374</c:v>
                </c:pt>
                <c:pt idx="67">
                  <c:v>8824.0511580442235</c:v>
                </c:pt>
                <c:pt idx="68">
                  <c:v>9241.5563468286146</c:v>
                </c:pt>
                <c:pt idx="69">
                  <c:v>9675.9955830539238</c:v>
                </c:pt>
                <c:pt idx="70">
                  <c:v>10127.93279085959</c:v>
                </c:pt>
                <c:pt idx="71">
                  <c:v>10597.946123082091</c:v>
                </c:pt>
                <c:pt idx="72">
                  <c:v>11086.628183413559</c:v>
                </c:pt>
                <c:pt idx="73">
                  <c:v>11594.586248925878</c:v>
                </c:pt>
                <c:pt idx="74">
                  <c:v>12122.44249291095</c:v>
                </c:pt>
                <c:pt idx="75">
                  <c:v>12670.83420799176</c:v>
                </c:pt>
                <c:pt idx="76">
                  <c:v>13240.41402945528</c:v>
                </c:pt>
                <c:pt idx="77">
                  <c:v>13831.850158763496</c:v>
                </c:pt>
                <c:pt idx="78">
                  <c:v>14445.82658719575</c:v>
                </c:pt>
                <c:pt idx="79">
                  <c:v>15083.043319578825</c:v>
                </c:pt>
                <c:pt idx="80">
                  <c:v>15744.216598060713</c:v>
                </c:pt>
                <c:pt idx="81">
                  <c:v>16430.079125885735</c:v>
                </c:pt>
                <c:pt idx="82">
                  <c:v>17141.380291128156</c:v>
                </c:pt>
                <c:pt idx="83">
                  <c:v>17878.886390344545</c:v>
                </c:pt>
                <c:pt idx="84">
                  <c:v>18643.380852103535</c:v>
                </c:pt>
                <c:pt idx="85">
                  <c:v>19435.664460354943</c:v>
                </c:pt>
                <c:pt idx="86">
                  <c:v>20256.555577599236</c:v>
                </c:pt>
                <c:pt idx="87">
                  <c:v>21106.890367820866</c:v>
                </c:pt>
                <c:pt idx="88">
                  <c:v>21987.523019149561</c:v>
                </c:pt>
                <c:pt idx="89">
                  <c:v>22899.325966213539</c:v>
                </c:pt>
                <c:pt idx="90">
                  <c:v>23843.190112152592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75-4DAE-9ABA-76119811271F}"/>
            </c:ext>
          </c:extLst>
        </c:ser>
        <c:ser>
          <c:idx val="7"/>
          <c:order val="7"/>
          <c:tx>
            <c:strRef>
              <c:f>'Adsorption - Volumetric'!$J$14</c:f>
              <c:strCache>
                <c:ptCount val="1"/>
                <c:pt idx="0">
                  <c:v>12.5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Volumetric'!$J$17:$J$107</c:f>
              <c:numCache>
                <c:formatCode>General</c:formatCode>
                <c:ptCount val="91"/>
                <c:pt idx="0">
                  <c:v>224.77738962604107</c:v>
                </c:pt>
                <c:pt idx="1">
                  <c:v>241.75631058912441</c:v>
                </c:pt>
                <c:pt idx="2">
                  <c:v>259.87307082795024</c:v>
                </c:pt>
                <c:pt idx="3">
                  <c:v>279.19361503837268</c:v>
                </c:pt>
                <c:pt idx="4">
                  <c:v>299.78706193351121</c:v>
                </c:pt>
                <c:pt idx="5">
                  <c:v>321.72582179905964</c:v>
                </c:pt>
                <c:pt idx="6">
                  <c:v>345.08571679469588</c:v>
                </c:pt>
                <c:pt idx="7">
                  <c:v>369.94610400610509</c:v>
                </c:pt>
                <c:pt idx="8">
                  <c:v>396.39000125010045</c:v>
                </c:pt>
                <c:pt idx="9">
                  <c:v>424.50421563348459</c:v>
                </c:pt>
                <c:pt idx="10">
                  <c:v>454.37947486423343</c:v>
                </c:pt>
                <c:pt idx="11">
                  <c:v>486.11056131166583</c:v>
                </c:pt>
                <c:pt idx="12">
                  <c:v>519.79644881026172</c:v>
                </c:pt>
                <c:pt idx="13">
                  <c:v>555.54044219987031</c:v>
                </c:pt>
                <c:pt idx="14">
                  <c:v>593.45031959300945</c:v>
                </c:pt>
                <c:pt idx="15">
                  <c:v>633.6384773580038</c:v>
                </c:pt>
                <c:pt idx="16">
                  <c:v>676.22207780481597</c:v>
                </c:pt>
                <c:pt idx="17">
                  <c:v>721.32319955839898</c:v>
                </c:pt>
                <c:pt idx="18">
                  <c:v>769.06899060247281</c:v>
                </c:pt>
                <c:pt idx="19">
                  <c:v>819.59182397477014</c:v>
                </c:pt>
                <c:pt idx="20">
                  <c:v>873.02945609282392</c:v>
                </c:pt>
                <c:pt idx="21">
                  <c:v>929.52518768750929</c:v>
                </c:pt>
                <c:pt idx="22">
                  <c:v>989.22802731976685</c:v>
                </c:pt>
                <c:pt idx="23">
                  <c:v>1052.2928574539546</c:v>
                </c:pt>
                <c:pt idx="24">
                  <c:v>1118.8806030596731</c:v>
                </c:pt>
                <c:pt idx="25">
                  <c:v>1189.1584027119829</c:v>
                </c:pt>
                <c:pt idx="26">
                  <c:v>1263.2997821582317</c:v>
                </c:pt>
                <c:pt idx="27">
                  <c:v>1341.4848303180986</c:v>
                </c:pt>
                <c:pt idx="28">
                  <c:v>1423.9003776817131</c:v>
                </c:pt>
                <c:pt idx="29">
                  <c:v>1510.7401770690965</c:v>
                </c:pt>
                <c:pt idx="30">
                  <c:v>1602.2050867126459</c:v>
                </c:pt>
                <c:pt idx="31">
                  <c:v>1698.5032556227809</c:v>
                </c:pt>
                <c:pt idx="32">
                  <c:v>1799.8503111954581</c:v>
                </c:pt>
                <c:pt idx="33">
                  <c:v>1906.4695490187894</c:v>
                </c:pt>
                <c:pt idx="34">
                  <c:v>2018.5921248345592</c:v>
                </c:pt>
                <c:pt idx="35">
                  <c:v>2136.4572486091333</c:v>
                </c:pt>
                <c:pt idx="36">
                  <c:v>2260.312380667096</c:v>
                </c:pt>
                <c:pt idx="37">
                  <c:v>2390.4134298394383</c:v>
                </c:pt>
                <c:pt idx="38">
                  <c:v>2527.0249535771618</c:v>
                </c:pt>
                <c:pt idx="39">
                  <c:v>2670.4203599800153</c:v>
                </c:pt>
                <c:pt idx="40">
                  <c:v>2820.8821116888748</c:v>
                </c:pt>
                <c:pt idx="41">
                  <c:v>2978.7019315895486</c:v>
                </c:pt>
                <c:pt idx="42">
                  <c:v>3144.1810102744284</c:v>
                </c:pt>
                <c:pt idx="43">
                  <c:v>3317.630215207877</c:v>
                </c:pt>
                <c:pt idx="44">
                  <c:v>3499.3703015403271</c:v>
                </c:pt>
                <c:pt idx="45">
                  <c:v>3689.7321245151725</c:v>
                </c:pt>
                <c:pt idx="46">
                  <c:v>3889.0568534118688</c:v>
                </c:pt>
                <c:pt idx="47">
                  <c:v>4097.6961869681845</c:v>
                </c:pt>
                <c:pt idx="48">
                  <c:v>4316.0125702236674</c:v>
                </c:pt>
                <c:pt idx="49">
                  <c:v>4544.3794127261472</c:v>
                </c:pt>
                <c:pt idx="50">
                  <c:v>4783.1813080424017</c:v>
                </c:pt>
                <c:pt idx="51">
                  <c:v>5032.8142545138926</c:v>
                </c:pt>
                <c:pt idx="52">
                  <c:v>5293.6858771979878</c:v>
                </c:pt>
                <c:pt idx="53">
                  <c:v>5566.2156509350598</c:v>
                </c:pt>
                <c:pt idx="54">
                  <c:v>5850.8351244810874</c:v>
                </c:pt>
                <c:pt idx="55">
                  <c:v>6147.9881456461471</c:v>
                </c:pt>
                <c:pt idx="56">
                  <c:v>6458.1310873779103</c:v>
                </c:pt>
                <c:pt idx="57">
                  <c:v>6781.7330747305987</c:v>
                </c:pt>
                <c:pt idx="58">
                  <c:v>7119.2762126583011</c:v>
                </c:pt>
                <c:pt idx="59">
                  <c:v>7471.2558145732892</c:v>
                </c:pt>
                <c:pt idx="60">
                  <c:v>7838.180631608664</c:v>
                </c:pt>
                <c:pt idx="61">
                  <c:v>8220.5730825260071</c:v>
                </c:pt>
                <c:pt idx="62">
                  <c:v>8618.9694842080153</c:v>
                </c:pt>
                <c:pt idx="63">
                  <c:v>9033.9202826773035</c:v>
                </c:pt>
                <c:pt idx="64">
                  <c:v>9465.9902845820998</c:v>
                </c:pt>
                <c:pt idx="65">
                  <c:v>9915.7588890906736</c:v>
                </c:pt>
                <c:pt idx="66">
                  <c:v>10383.820320136298</c:v>
                </c:pt>
                <c:pt idx="67">
                  <c:v>10870.783858955536</c:v>
                </c:pt>
                <c:pt idx="68">
                  <c:v>11377.27407686261</c:v>
                </c:pt>
                <c:pt idx="69">
                  <c:v>11903.931068204192</c:v>
                </c:pt>
                <c:pt idx="70">
                  <c:v>12451.410683438127</c:v>
                </c:pt>
                <c:pt idx="71">
                  <c:v>13020.38476228262</c:v>
                </c:pt>
                <c:pt idx="72">
                  <c:v>13611.541366880205</c:v>
                </c:pt>
                <c:pt idx="73">
                  <c:v>14225.585014924909</c:v>
                </c:pt>
                <c:pt idx="74">
                  <c:v>14863.236912698449</c:v>
                </c:pt>
                <c:pt idx="75">
                  <c:v>15525.235187966271</c:v>
                </c:pt>
                <c:pt idx="76">
                  <c:v>16212.335122680217</c:v>
                </c:pt>
                <c:pt idx="77">
                  <c:v>16925.309385440753</c:v>
                </c:pt>
                <c:pt idx="78">
                  <c:v>17664.948263668608</c:v>
                </c:pt>
                <c:pt idx="79">
                  <c:v>18432.05989543923</c:v>
                </c:pt>
                <c:pt idx="80">
                  <c:v>19227.470500933221</c:v>
                </c:pt>
                <c:pt idx="81">
                  <c:v>20052.024613458336</c:v>
                </c:pt>
                <c:pt idx="82">
                  <c:v>20906.58530999767</c:v>
                </c:pt>
                <c:pt idx="83">
                  <c:v>21792.034441242835</c:v>
                </c:pt>
                <c:pt idx="84">
                  <c:v>22709.272861069141</c:v>
                </c:pt>
                <c:pt idx="85">
                  <c:v>23659.220655413523</c:v>
                </c:pt>
                <c:pt idx="86">
                  <c:v>24642.817370515288</c:v>
                </c:pt>
                <c:pt idx="87">
                  <c:v>25661.022240482678</c:v>
                </c:pt>
                <c:pt idx="88">
                  <c:v>26714.814414148881</c:v>
                </c:pt>
                <c:pt idx="89">
                  <c:v>27805.193181181341</c:v>
                </c:pt>
                <c:pt idx="90">
                  <c:v>28933.178197412846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475-4DAE-9ABA-76119811271F}"/>
            </c:ext>
          </c:extLst>
        </c:ser>
        <c:ser>
          <c:idx val="8"/>
          <c:order val="8"/>
          <c:tx>
            <c:strRef>
              <c:f>'Adsorption - Volumetric'!$K$14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Volumetric'!$K$17:$K$107</c:f>
              <c:numCache>
                <c:formatCode>General</c:formatCode>
                <c:ptCount val="91"/>
                <c:pt idx="0">
                  <c:v>271.11283906451905</c:v>
                </c:pt>
                <c:pt idx="1">
                  <c:v>291.39657057368299</c:v>
                </c:pt>
                <c:pt idx="2">
                  <c:v>313.0246126660083</c:v>
                </c:pt>
                <c:pt idx="3">
                  <c:v>336.07384821598589</c:v>
                </c:pt>
                <c:pt idx="4">
                  <c:v>360.62479858326594</c:v>
                </c:pt>
                <c:pt idx="5">
                  <c:v>386.76175513600731</c:v>
                </c:pt>
                <c:pt idx="6">
                  <c:v>414.57291370190455</c:v>
                </c:pt>
                <c:pt idx="7">
                  <c:v>444.15051194554258</c:v>
                </c:pt>
                <c:pt idx="8">
                  <c:v>475.5909696684493</c:v>
                </c:pt>
                <c:pt idx="9">
                  <c:v>508.99503202616717</c:v>
                </c:pt>
                <c:pt idx="10">
                  <c:v>544.46791565435706</c:v>
                </c:pt>
                <c:pt idx="11">
                  <c:v>582.11945769382908</c:v>
                </c:pt>
                <c:pt idx="12">
                  <c:v>622.06426770217547</c:v>
                </c:pt>
                <c:pt idx="13">
                  <c:v>664.4218824375771</c:v>
                </c:pt>
                <c:pt idx="14">
                  <c:v>709.31692349810476</c:v>
                </c:pt>
                <c:pt idx="15">
                  <c:v>756.87925779770387</c:v>
                </c:pt>
                <c:pt idx="16">
                  <c:v>807.2441608580051</c:v>
                </c:pt>
                <c:pt idx="17">
                  <c:v>860.55248289288681</c:v>
                </c:pt>
                <c:pt idx="18">
                  <c:v>916.95081766065073</c:v>
                </c:pt>
                <c:pt idx="19">
                  <c:v>976.59167405666608</c:v>
                </c:pt>
                <c:pt idx="20">
                  <c:v>1039.6336504172432</c:v>
                </c:pt>
                <c:pt idx="21">
                  <c:v>1106.2416115034764</c:v>
                </c:pt>
                <c:pt idx="22">
                  <c:v>1176.5868681319625</c:v>
                </c:pt>
                <c:pt idx="23">
                  <c:v>1250.8473594171346</c:v>
                </c:pt>
                <c:pt idx="24">
                  <c:v>1329.2078375883366</c:v>
                </c:pt>
                <c:pt idx="25">
                  <c:v>1411.8600553427013</c:v>
                </c:pt>
                <c:pt idx="26">
                  <c:v>1499.0029556931386</c:v>
                </c:pt>
                <c:pt idx="27">
                  <c:v>1590.8428642690808</c:v>
                </c:pt>
                <c:pt idx="28">
                  <c:v>1687.5936840258228</c:v>
                </c:pt>
                <c:pt idx="29">
                  <c:v>1789.4770923166313</c:v>
                </c:pt>
                <c:pt idx="30">
                  <c:v>1896.7227402802835</c:v>
                </c:pt>
                <c:pt idx="31">
                  <c:v>2009.5684544950232</c:v>
                </c:pt>
                <c:pt idx="32">
                  <c:v>2128.2604408485463</c:v>
                </c:pt>
                <c:pt idx="33">
                  <c:v>2253.0534905721502</c:v>
                </c:pt>
                <c:pt idx="34">
                  <c:v>2384.2111883857315</c:v>
                </c:pt>
                <c:pt idx="35">
                  <c:v>2522.0061226990542</c:v>
                </c:pt>
                <c:pt idx="36">
                  <c:v>2666.7200978136543</c:v>
                </c:pt>
                <c:pt idx="37">
                  <c:v>2818.644348068116</c:v>
                </c:pt>
                <c:pt idx="38">
                  <c:v>2978.0797538687425</c:v>
                </c:pt>
                <c:pt idx="39">
                  <c:v>3145.337059546433</c:v>
                </c:pt>
                <c:pt idx="40">
                  <c:v>3320.7370929794897</c:v>
                </c:pt>
                <c:pt idx="41">
                  <c:v>3504.6109869214574</c:v>
                </c:pt>
                <c:pt idx="42">
                  <c:v>3697.3004019717623</c:v>
                </c:pt>
                <c:pt idx="43">
                  <c:v>3899.1577511265828</c:v>
                </c:pt>
                <c:pt idx="44">
                  <c:v>4110.5464258464935</c:v>
                </c:pt>
                <c:pt idx="45">
                  <c:v>4331.8410235767406</c:v>
                </c:pt>
                <c:pt idx="46">
                  <c:v>4563.4275766553428</c:v>
                </c:pt>
                <c:pt idx="47">
                  <c:v>4805.7037825440593</c:v>
                </c:pt>
                <c:pt idx="48">
                  <c:v>5059.079235316326</c:v>
                </c:pt>
                <c:pt idx="49">
                  <c:v>5323.9756583363687</c:v>
                </c:pt>
                <c:pt idx="50">
                  <c:v>5600.8271380629876</c:v>
                </c:pt>
                <c:pt idx="51">
                  <c:v>5890.0803589116422</c:v>
                </c:pt>
                <c:pt idx="52">
                  <c:v>6192.1948391079377</c:v>
                </c:pt>
                <c:pt idx="53">
                  <c:v>6507.643167466008</c:v>
                </c:pt>
                <c:pt idx="54">
                  <c:v>6836.9112410244616</c:v>
                </c:pt>
                <c:pt idx="55">
                  <c:v>7180.4985034737756</c:v>
                </c:pt>
                <c:pt idx="56">
                  <c:v>7538.918184307674</c:v>
                </c:pt>
                <c:pt idx="57">
                  <c:v>7912.697538632854</c:v>
                </c:pt>
                <c:pt idx="58">
                  <c:v>8302.3780875698012</c:v>
                </c:pt>
                <c:pt idx="59">
                  <c:v>8708.5158591796389</c:v>
                </c:pt>
                <c:pt idx="60">
                  <c:v>9131.6816298506928</c:v>
                </c:pt>
                <c:pt idx="61">
                  <c:v>9572.4611660800801</c:v>
                </c:pt>
                <c:pt idx="62">
                  <c:v>10031.455466585199</c:v>
                </c:pt>
                <c:pt idx="63">
                  <c:v>10509.281004681376</c:v>
                </c:pt>
                <c:pt idx="64">
                  <c:v>11006.569970861698</c:v>
                </c:pt>
                <c:pt idx="65">
                  <c:v>11523.970515516519</c:v>
                </c:pt>
                <c:pt idx="66">
                  <c:v>12062.146991730106</c:v>
                </c:pt>
                <c:pt idx="67">
                  <c:v>12621.780198093453</c:v>
                </c:pt>
                <c:pt idx="68">
                  <c:v>13203.567621472124</c:v>
                </c:pt>
                <c:pt idx="69">
                  <c:v>13808.223679670127</c:v>
                </c:pt>
                <c:pt idx="70">
                  <c:v>14436.479963930064</c:v>
                </c:pt>
                <c:pt idx="71">
                  <c:v>15089.085481213182</c:v>
                </c:pt>
                <c:pt idx="72">
                  <c:v>15766.806896200835</c:v>
                </c:pt>
                <c:pt idx="73">
                  <c:v>16470.428772963412</c:v>
                </c:pt>
                <c:pt idx="74">
                  <c:v>17200.753816240245</c:v>
                </c:pt>
                <c:pt idx="75">
                  <c:v>17958.603112279568</c:v>
                </c:pt>
                <c:pt idx="76">
                  <c:v>18744.816369183216</c:v>
                </c:pt>
                <c:pt idx="77">
                  <c:v>19560.252156708044</c:v>
                </c:pt>
                <c:pt idx="78">
                  <c:v>20405.788145472277</c:v>
                </c:pt>
                <c:pt idx="79">
                  <c:v>21282.321345519478</c:v>
                </c:pt>
                <c:pt idx="80">
                  <c:v>22190.768344192613</c:v>
                </c:pt>
                <c:pt idx="81">
                  <c:v>23132.065543273166</c:v>
                </c:pt>
                <c:pt idx="82">
                  <c:v>24107.169395339908</c:v>
                </c:pt>
                <c:pt idx="83">
                  <c:v>25117.056639306145</c:v>
                </c:pt>
                <c:pt idx="84">
                  <c:v>26162.72453509258</c:v>
                </c:pt>
                <c:pt idx="85">
                  <c:v>27245.191097397317</c:v>
                </c:pt>
                <c:pt idx="86">
                  <c:v>28365.495328523644</c:v>
                </c:pt>
                <c:pt idx="87">
                  <c:v>29524.697450229731</c:v>
                </c:pt>
                <c:pt idx="88">
                  <c:v>30723.879134565108</c:v>
                </c:pt>
                <c:pt idx="89">
                  <c:v>31964.143733659163</c:v>
                </c:pt>
                <c:pt idx="90">
                  <c:v>33246.616508432046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475-4DAE-9ABA-76119811271F}"/>
            </c:ext>
          </c:extLst>
        </c:ser>
        <c:ser>
          <c:idx val="9"/>
          <c:order val="9"/>
          <c:tx>
            <c:strRef>
              <c:f>'Adsorption - Volumetric'!$L$14</c:f>
              <c:strCache>
                <c:ptCount val="1"/>
                <c:pt idx="0">
                  <c:v>17.5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Volumetric'!$L$17:$L$107</c:f>
              <c:numCache>
                <c:formatCode>General</c:formatCode>
                <c:ptCount val="91"/>
                <c:pt idx="0">
                  <c:v>313.85119490553848</c:v>
                </c:pt>
                <c:pt idx="1">
                  <c:v>337.15710594821678</c:v>
                </c:pt>
                <c:pt idx="2">
                  <c:v>361.99439353673733</c:v>
                </c:pt>
                <c:pt idx="3">
                  <c:v>388.44974799746137</c:v>
                </c:pt>
                <c:pt idx="4">
                  <c:v>416.61390953483425</c:v>
                </c:pt>
                <c:pt idx="5">
                  <c:v>446.58181193224334</c:v>
                </c:pt>
                <c:pt idx="6">
                  <c:v>478.45272933396819</c:v>
                </c:pt>
                <c:pt idx="7">
                  <c:v>512.33042610184873</c:v>
                </c:pt>
                <c:pt idx="8">
                  <c:v>548.32330973781484</c:v>
                </c:pt>
                <c:pt idx="9">
                  <c:v>586.5445868612062</c:v>
                </c:pt>
                <c:pt idx="10">
                  <c:v>627.11242222732312</c:v>
                </c:pt>
                <c:pt idx="11">
                  <c:v>670.15010077135514</c:v>
                </c:pt>
                <c:pt idx="12">
                  <c:v>715.78619265947066</c:v>
                </c:pt>
                <c:pt idx="13">
                  <c:v>764.15472132658601</c:v>
                </c:pt>
                <c:pt idx="14">
                  <c:v>815.39533447793542</c:v>
                </c:pt>
                <c:pt idx="15">
                  <c:v>869.65347802929716</c:v>
                </c:pt>
                <c:pt idx="16">
                  <c:v>927.08057295855872</c:v>
                </c:pt>
                <c:pt idx="17">
                  <c:v>987.83419503896732</c:v>
                </c:pt>
                <c:pt idx="18">
                  <c:v>1052.0782574222244</c:v>
                </c:pt>
                <c:pt idx="19">
                  <c:v>1119.9831960374934</c:v>
                </c:pt>
                <c:pt idx="20">
                  <c:v>1191.7261577701863</c:v>
                </c:pt>
                <c:pt idx="21">
                  <c:v>1267.4911913822875</c:v>
                </c:pt>
                <c:pt idx="22">
                  <c:v>1347.469441134084</c:v>
                </c:pt>
                <c:pt idx="23">
                  <c:v>1431.8593430649003</c:v>
                </c:pt>
                <c:pt idx="24">
                  <c:v>1520.8668238888079</c:v>
                </c:pt>
                <c:pt idx="25">
                  <c:v>1614.7055024591364</c:v>
                </c:pt>
                <c:pt idx="26">
                  <c:v>1713.5968937538189</c:v>
                </c:pt>
                <c:pt idx="27">
                  <c:v>1817.770615331935</c:v>
                </c:pt>
                <c:pt idx="28">
                  <c:v>1927.4645962099678</c:v>
                </c:pt>
                <c:pt idx="29">
                  <c:v>2042.925288104622</c:v>
                </c:pt>
                <c:pt idx="30">
                  <c:v>2164.4078789875221</c:v>
                </c:pt>
                <c:pt idx="31">
                  <c:v>2292.1765088954598</c:v>
                </c:pt>
                <c:pt idx="32">
                  <c:v>2426.5044879385</c:v>
                </c:pt>
                <c:pt idx="33">
                  <c:v>2567.6745164467834</c:v>
                </c:pt>
                <c:pt idx="34">
                  <c:v>2715.9789071954592</c:v>
                </c:pt>
                <c:pt idx="35">
                  <c:v>2871.7198096459674</c:v>
                </c:pt>
                <c:pt idx="36">
                  <c:v>3035.2094361408645</c:v>
                </c:pt>
                <c:pt idx="37">
                  <c:v>3206.7702899878573</c:v>
                </c:pt>
                <c:pt idx="38">
                  <c:v>3386.7353953679922</c:v>
                </c:pt>
                <c:pt idx="39">
                  <c:v>3575.4485290018911</c:v>
                </c:pt>
                <c:pt idx="40">
                  <c:v>3773.2644535068789</c:v>
                </c:pt>
                <c:pt idx="41">
                  <c:v>3980.5491523773239</c:v>
                </c:pt>
                <c:pt idx="42">
                  <c:v>4197.680066519275</c:v>
                </c:pt>
                <c:pt idx="43">
                  <c:v>4425.046332270249</c:v>
                </c:pt>
                <c:pt idx="44">
                  <c:v>4663.0490208342953</c:v>
                </c:pt>
                <c:pt idx="45">
                  <c:v>4912.1013790618008</c:v>
                </c:pt>
                <c:pt idx="46">
                  <c:v>5172.6290715030582</c:v>
                </c:pt>
                <c:pt idx="47">
                  <c:v>5445.070423664597</c:v>
                </c:pt>
                <c:pt idx="48">
                  <c:v>5729.8766663963634</c:v>
                </c:pt>
                <c:pt idx="49">
                  <c:v>6027.512181338293</c:v>
                </c:pt>
                <c:pt idx="50">
                  <c:v>6338.4547473540479</c:v>
                </c:pt>
                <c:pt idx="51">
                  <c:v>6663.195787880135</c:v>
                </c:pt>
                <c:pt idx="52">
                  <c:v>7002.2406191182008</c:v>
                </c:pt>
                <c:pt idx="53">
                  <c:v>7356.1086989988798</c:v>
                </c:pt>
                <c:pt idx="54">
                  <c:v>7725.3338768448602</c:v>
                </c:pt>
                <c:pt idx="55">
                  <c:v>8110.4646436623607</c:v>
                </c:pt>
                <c:pt idx="56">
                  <c:v>8512.0643829889159</c:v>
                </c:pt>
                <c:pt idx="57">
                  <c:v>8930.7116222274672</c:v>
                </c:pt>
                <c:pt idx="58">
                  <c:v>9367.0002843952716</c:v>
                </c:pt>
                <c:pt idx="59">
                  <c:v>9821.5399402186067</c:v>
                </c:pt>
                <c:pt idx="60">
                  <c:v>10294.956060503138</c:v>
                </c:pt>
                <c:pt idx="61">
                  <c:v>10787.890268711642</c:v>
                </c:pt>
                <c:pt idx="62">
                  <c:v>11301.000593680632</c:v>
                </c:pt>
                <c:pt idx="63">
                  <c:v>11834.961722408891</c:v>
                </c:pt>
                <c:pt idx="64">
                  <c:v>12390.465252851052</c:v>
                </c:pt>
                <c:pt idx="65">
                  <c:v>12968.219946650885</c:v>
                </c:pt>
                <c:pt idx="66">
                  <c:v>13568.951981749346</c:v>
                </c:pt>
                <c:pt idx="67">
                  <c:v>14193.405204803958</c:v>
                </c:pt>
                <c:pt idx="68">
                  <c:v>14842.341383356428</c:v>
                </c:pt>
                <c:pt idx="69">
                  <c:v>15516.540457687621</c:v>
                </c:pt>
                <c:pt idx="70">
                  <c:v>16216.800792298342</c:v>
                </c:pt>
                <c:pt idx="71">
                  <c:v>16943.939426958419</c:v>
                </c:pt>
                <c:pt idx="72">
                  <c:v>17698.792327264131</c:v>
                </c:pt>
                <c:pt idx="73">
                  <c:v>18482.214634649295</c:v>
                </c:pt>
                <c:pt idx="74">
                  <c:v>19295.080915792587</c:v>
                </c:pt>
                <c:pt idx="75">
                  <c:v>20138.2854113699</c:v>
                </c:pt>
                <c:pt idx="76">
                  <c:v>21012.742284095992</c:v>
                </c:pt>
                <c:pt idx="77">
                  <c:v>21919.385866007331</c:v>
                </c:pt>
                <c:pt idx="78">
                  <c:v>22859.170904934694</c:v>
                </c:pt>
                <c:pt idx="79">
                  <c:v>23833.072810118483</c:v>
                </c:pt>
                <c:pt idx="80">
                  <c:v>24842.087896919871</c:v>
                </c:pt>
                <c:pt idx="81">
                  <c:v>25887.233630583785</c:v>
                </c:pt>
                <c:pt idx="82">
                  <c:v>26969.548869009068</c:v>
                </c:pt>
                <c:pt idx="83">
                  <c:v>28090.094104486343</c:v>
                </c:pt>
                <c:pt idx="84">
                  <c:v>29249.951704362007</c:v>
                </c:pt>
                <c:pt idx="85">
                  <c:v>30450.226150591734</c:v>
                </c:pt>
                <c:pt idx="86">
                  <c:v>31692.044278146157</c:v>
                </c:pt>
                <c:pt idx="87">
                  <c:v>32976.555512234881</c:v>
                </c:pt>
                <c:pt idx="88">
                  <c:v>34304.932104316518</c:v>
                </c:pt>
                <c:pt idx="89">
                  <c:v>35678.369366862047</c:v>
                </c:pt>
                <c:pt idx="90">
                  <c:v>37098.085906845445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75-4DAE-9ABA-76119811271F}"/>
            </c:ext>
          </c:extLst>
        </c:ser>
        <c:ser>
          <c:idx val="10"/>
          <c:order val="10"/>
          <c:tx>
            <c:strRef>
              <c:f>'Adsorption - Volumetric'!$M$14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Volumetric'!$M$17:$M$107</c:f>
              <c:numCache>
                <c:formatCode>General</c:formatCode>
                <c:ptCount val="91"/>
                <c:pt idx="0">
                  <c:v>354.844251198991</c:v>
                </c:pt>
                <c:pt idx="1">
                  <c:v>381.02921657604065</c:v>
                </c:pt>
                <c:pt idx="2">
                  <c:v>408.92253356918536</c:v>
                </c:pt>
                <c:pt idx="3">
                  <c:v>438.62010453214293</c:v>
                </c:pt>
                <c:pt idx="4">
                  <c:v>470.22226528742863</c:v>
                </c:pt>
                <c:pt idx="5">
                  <c:v>503.83394010751846</c:v>
                </c:pt>
                <c:pt idx="6">
                  <c:v>539.56479992022059</c:v>
                </c:pt>
                <c:pt idx="7">
                  <c:v>577.52942372754092</c:v>
                </c:pt>
                <c:pt idx="8">
                  <c:v>617.8474632246681</c:v>
                </c:pt>
                <c:pt idx="9">
                  <c:v>660.64381060336427</c:v>
                </c:pt>
                <c:pt idx="10">
                  <c:v>706.04876952139239</c:v>
                </c:pt>
                <c:pt idx="11">
                  <c:v>754.19822921720424</c:v>
                </c:pt>
                <c:pt idx="12">
                  <c:v>805.23384174659532</c:v>
                </c:pt>
                <c:pt idx="13">
                  <c:v>859.30320231567293</c:v>
                </c:pt>
                <c:pt idx="14">
                  <c:v>916.56003268195252</c:v>
                </c:pt>
                <c:pt idx="15">
                  <c:v>977.16436759302007</c:v>
                </c:pt>
                <c:pt idx="16">
                  <c:v>1041.282744229947</c:v>
                </c:pt>
                <c:pt idx="17">
                  <c:v>1109.088394620198</c:v>
                </c:pt>
                <c:pt idx="18">
                  <c:v>1180.7614409824955</c:v>
                </c:pt>
                <c:pt idx="19">
                  <c:v>1256.4890939639592</c:v>
                </c:pt>
                <c:pt idx="20">
                  <c:v>1336.4658537275436</c:v>
                </c:pt>
                <c:pt idx="21">
                  <c:v>1420.8937138456392</c:v>
                </c:pt>
                <c:pt idx="22">
                  <c:v>1509.9823679537728</c:v>
                </c:pt>
                <c:pt idx="23">
                  <c:v>1603.9494191159922</c:v>
                </c:pt>
                <c:pt idx="24">
                  <c:v>1703.0205918519027</c:v>
                </c:pt>
                <c:pt idx="25">
                  <c:v>1807.429946773118</c:v>
                </c:pt>
                <c:pt idx="26">
                  <c:v>1917.4200977750734</c:v>
                </c:pt>
                <c:pt idx="27">
                  <c:v>2033.2424317285054</c:v>
                </c:pt>
                <c:pt idx="28">
                  <c:v>2155.1573306130053</c:v>
                </c:pt>
                <c:pt idx="29">
                  <c:v>2283.4343960334227</c:v>
                </c:pt>
                <c:pt idx="30">
                  <c:v>2418.3526760583677</c:v>
                </c:pt>
                <c:pt idx="31">
                  <c:v>2560.2008943184342</c:v>
                </c:pt>
                <c:pt idx="32">
                  <c:v>2709.2776813004421</c:v>
                </c:pt>
                <c:pt idx="33">
                  <c:v>2865.891807772553</c:v>
                </c:pt>
                <c:pt idx="34">
                  <c:v>3030.3624202737724</c:v>
                </c:pt>
                <c:pt idx="35">
                  <c:v>3203.0192786001567</c:v>
                </c:pt>
                <c:pt idx="36">
                  <c:v>3384.2029952191442</c:v>
                </c:pt>
                <c:pt idx="37">
                  <c:v>3574.2652765418866</c:v>
                </c:pt>
                <c:pt idx="38">
                  <c:v>3773.5691659828835</c:v>
                </c:pt>
                <c:pt idx="39">
                  <c:v>3982.4892887352175</c:v>
                </c:pt>
                <c:pt idx="40">
                  <c:v>4201.4120981887418</c:v>
                </c:pt>
                <c:pt idx="41">
                  <c:v>4430.7361239181701</c:v>
                </c:pt>
                <c:pt idx="42">
                  <c:v>4670.8722211668064</c:v>
                </c:pt>
                <c:pt idx="43">
                  <c:v>4922.2438217516547</c:v>
                </c:pt>
                <c:pt idx="44">
                  <c:v>5185.2871863149257</c:v>
                </c:pt>
                <c:pt idx="45">
                  <c:v>5460.45165784652</c:v>
                </c:pt>
                <c:pt idx="46">
                  <c:v>5748.1999164016624</c:v>
                </c:pt>
                <c:pt idx="47">
                  <c:v>6049.0082349380245</c:v>
                </c:pt>
                <c:pt idx="48">
                  <c:v>6363.366736195956</c:v>
                </c:pt>
                <c:pt idx="49">
                  <c:v>6691.7796505459246</c:v>
                </c:pt>
                <c:pt idx="50">
                  <c:v>7034.7655747267299</c:v>
                </c:pt>
                <c:pt idx="51">
                  <c:v>7392.8577313987207</c:v>
                </c:pt>
                <c:pt idx="52">
                  <c:v>7766.6042294357849</c:v>
                </c:pt>
                <c:pt idx="53">
                  <c:v>8156.5683248809</c:v>
                </c:pt>
                <c:pt idx="54">
                  <c:v>8563.328682489233</c:v>
                </c:pt>
                <c:pt idx="55">
                  <c:v>8987.4796377847124</c:v>
                </c:pt>
                <c:pt idx="56">
                  <c:v>9429.6314595546792</c:v>
                </c:pt>
                <c:pt idx="57">
                  <c:v>9890.4106127097075</c:v>
                </c:pt>
                <c:pt idx="58">
                  <c:v>10370.460021434186</c:v>
                </c:pt>
                <c:pt idx="59">
                  <c:v>10870.439332556096</c:v>
                </c:pt>
                <c:pt idx="60">
                  <c:v>11391.025179063377</c:v>
                </c:pt>
                <c:pt idx="61">
                  <c:v>11932.911443696397</c:v>
                </c:pt>
                <c:pt idx="62">
                  <c:v>12496.809522545956</c:v>
                </c:pt>
                <c:pt idx="63">
                  <c:v>13083.448588588131</c:v>
                </c:pt>
                <c:pt idx="64">
                  <c:v>13693.575855087392</c:v>
                </c:pt>
                <c:pt idx="65">
                  <c:v>14327.956838801294</c:v>
                </c:pt>
                <c:pt idx="66">
                  <c:v>14987.37562292063</c:v>
                </c:pt>
                <c:pt idx="67">
                  <c:v>15672.635119680584</c:v>
                </c:pt>
                <c:pt idx="68">
                  <c:v>16384.557332579094</c:v>
                </c:pt>
                <c:pt idx="69">
                  <c:v>17123.983618141006</c:v>
                </c:pt>
                <c:pt idx="70">
                  <c:v>17891.774947166057</c:v>
                </c:pt>
                <c:pt idx="71">
                  <c:v>18688.812165403309</c:v>
                </c:pt>
                <c:pt idx="72">
                  <c:v>19515.996253591878</c:v>
                </c:pt>
                <c:pt idx="73">
                  <c:v>20374.248586814007</c:v>
                </c:pt>
                <c:pt idx="74">
                  <c:v>21264.511193103241</c:v>
                </c:pt>
                <c:pt idx="75">
                  <c:v>22187.747011257739</c:v>
                </c:pt>
                <c:pt idx="76">
                  <c:v>23144.940147803543</c:v>
                </c:pt>
                <c:pt idx="77">
                  <c:v>24137.096133061434</c:v>
                </c:pt>
                <c:pt idx="78">
                  <c:v>25165.242176267006</c:v>
                </c:pt>
                <c:pt idx="79">
                  <c:v>26230.427419698983</c:v>
                </c:pt>
                <c:pt idx="80">
                  <c:v>27333.723191770569</c:v>
                </c:pt>
                <c:pt idx="81">
                  <c:v>28476.223259042217</c:v>
                </c:pt>
                <c:pt idx="82">
                  <c:v>29659.044077113405</c:v>
                </c:pt>
                <c:pt idx="83">
                  <c:v>30883.325040356733</c:v>
                </c:pt>
                <c:pt idx="84">
                  <c:v>32150.228730455441</c:v>
                </c:pt>
                <c:pt idx="85">
                  <c:v>33460.941163711061</c:v>
                </c:pt>
                <c:pt idx="86">
                  <c:v>34816.672037086959</c:v>
                </c:pt>
                <c:pt idx="87">
                  <c:v>36218.654972957731</c:v>
                </c:pt>
                <c:pt idx="88">
                  <c:v>37668.147762535635</c:v>
                </c:pt>
                <c:pt idx="89">
                  <c:v>39166.432607945695</c:v>
                </c:pt>
                <c:pt idx="90">
                  <c:v>40714.816362927406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75-4DAE-9ABA-76119811271F}"/>
            </c:ext>
          </c:extLst>
        </c:ser>
        <c:ser>
          <c:idx val="11"/>
          <c:order val="11"/>
          <c:tx>
            <c:strRef>
              <c:f>'Adsorption - Volumetric'!$N$14</c:f>
              <c:strCache>
                <c:ptCount val="1"/>
                <c:pt idx="0">
                  <c:v>25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Volumetric'!$N$17:$N$107</c:f>
              <c:numCache>
                <c:formatCode>General</c:formatCode>
                <c:ptCount val="91"/>
                <c:pt idx="0">
                  <c:v>438.50777228019729</c:v>
                </c:pt>
                <c:pt idx="1">
                  <c:v>470.51987658214114</c:v>
                </c:pt>
                <c:pt idx="2">
                  <c:v>504.59585268829107</c:v>
                </c:pt>
                <c:pt idx="3">
                  <c:v>540.84999083000707</c:v>
                </c:pt>
                <c:pt idx="4">
                  <c:v>579.40177746701295</c:v>
                </c:pt>
                <c:pt idx="5">
                  <c:v>620.3760728104096</c:v>
                </c:pt>
                <c:pt idx="6">
                  <c:v>663.90329187746113</c:v>
                </c:pt>
                <c:pt idx="7">
                  <c:v>710.11958906052064</c:v>
                </c:pt>
                <c:pt idx="8">
                  <c:v>759.16704618952929</c:v>
                </c:pt>
                <c:pt idx="9">
                  <c:v>811.19386406498154</c:v>
                </c:pt>
                <c:pt idx="10">
                  <c:v>866.35455743534339</c:v>
                </c:pt>
                <c:pt idx="11">
                  <c:v>924.81015339029886</c:v>
                </c:pt>
                <c:pt idx="12">
                  <c:v>986.72839313847953</c:v>
                </c:pt>
                <c:pt idx="13">
                  <c:v>1052.2839371358152</c:v>
                </c:pt>
                <c:pt idx="14">
                  <c:v>1121.6585735279016</c:v>
                </c:pt>
                <c:pt idx="15">
                  <c:v>1195.041429867262</c:v>
                </c:pt>
                <c:pt idx="16">
                  <c:v>1272.6291880640167</c:v>
                </c:pt>
                <c:pt idx="17">
                  <c:v>1354.6263025258556</c:v>
                </c:pt>
                <c:pt idx="18">
                  <c:v>1441.2452214408443</c:v>
                </c:pt>
                <c:pt idx="19">
                  <c:v>1532.7066111543584</c:v>
                </c:pt>
                <c:pt idx="20">
                  <c:v>1629.2395835890566</c:v>
                </c:pt>
                <c:pt idx="21">
                  <c:v>1731.0819266545604</c:v>
                </c:pt>
                <c:pt idx="22">
                  <c:v>1838.4803375915874</c:v>
                </c:pt>
                <c:pt idx="23">
                  <c:v>1951.6906591928109</c:v>
                </c:pt>
                <c:pt idx="24">
                  <c:v>2070.9781188411944</c:v>
                </c:pt>
                <c:pt idx="25">
                  <c:v>2196.6175703042295</c:v>
                </c:pt>
                <c:pt idx="26">
                  <c:v>2328.8937382207937</c:v>
                </c:pt>
                <c:pt idx="27">
                  <c:v>2468.1014652156755</c:v>
                </c:pt>
                <c:pt idx="28">
                  <c:v>2614.5459615750069</c:v>
                </c:pt>
                <c:pt idx="29">
                  <c:v>2768.543057414231</c:v>
                </c:pt>
                <c:pt idx="30">
                  <c:v>2930.4194572688166</c:v>
                </c:pt>
                <c:pt idx="31">
                  <c:v>3100.5129970363728</c:v>
                </c:pt>
                <c:pt idx="32">
                  <c:v>3279.1729031976329</c:v>
                </c:pt>
                <c:pt idx="33">
                  <c:v>3466.760054242432</c:v>
                </c:pt>
                <c:pt idx="34">
                  <c:v>3663.6472442256063</c:v>
                </c:pt>
                <c:pt idx="35">
                  <c:v>3870.2194483766898</c:v>
                </c:pt>
                <c:pt idx="36">
                  <c:v>4086.8740906866301</c:v>
                </c:pt>
                <c:pt idx="37">
                  <c:v>4314.0213133932484</c:v>
                </c:pt>
                <c:pt idx="38">
                  <c:v>4552.0842482869366</c:v>
                </c:pt>
                <c:pt idx="39">
                  <c:v>4801.4992897572047</c:v>
                </c:pt>
                <c:pt idx="40">
                  <c:v>5062.7163695000054</c:v>
                </c:pt>
                <c:pt idx="41">
                  <c:v>5336.1992328056031</c:v>
                </c:pt>
                <c:pt idx="42">
                  <c:v>5622.4257163458078</c:v>
                </c:pt>
                <c:pt idx="43">
                  <c:v>5921.8880273796021</c:v>
                </c:pt>
                <c:pt idx="44">
                  <c:v>6235.0930242958684</c:v>
                </c:pt>
                <c:pt idx="45">
                  <c:v>6562.5624984116776</c:v>
                </c:pt>
                <c:pt idx="46">
                  <c:v>6904.8334569445178</c:v>
                </c:pt>
                <c:pt idx="47">
                  <c:v>7262.4584070774035</c:v>
                </c:pt>
                <c:pt idx="48">
                  <c:v>7636.0056410353018</c:v>
                </c:pt>
                <c:pt idx="49">
                  <c:v>8026.0595220922332</c:v>
                </c:pt>
                <c:pt idx="50">
                  <c:v>8433.2207714282049</c:v>
                </c:pt>
                <c:pt idx="51">
                  <c:v>8858.1067557560837</c:v>
                </c:pt>
                <c:pt idx="52">
                  <c:v>9301.3517756385845</c:v>
                </c:pt>
                <c:pt idx="53">
                  <c:v>9763.6073544168212</c:v>
                </c:pt>
                <c:pt idx="54">
                  <c:v>10245.542527671505</c:v>
                </c:pt>
                <c:pt idx="55">
                  <c:v>10747.84413314031</c:v>
                </c:pt>
                <c:pt idx="56">
                  <c:v>11271.217101013801</c:v>
                </c:pt>
                <c:pt idx="57">
                  <c:v>11816.384744535604</c:v>
                </c:pt>
                <c:pt idx="58">
                  <c:v>12384.089050830915</c:v>
                </c:pt>
                <c:pt idx="59">
                  <c:v>12975.090971891368</c:v>
                </c:pt>
                <c:pt idx="60">
                  <c:v>13590.170715643007</c:v>
                </c:pt>
                <c:pt idx="61">
                  <c:v>14230.128037027383</c:v>
                </c:pt>
                <c:pt idx="62">
                  <c:v>14895.782529025522</c:v>
                </c:pt>
                <c:pt idx="63">
                  <c:v>15587.973913557506</c:v>
                </c:pt>
                <c:pt idx="64">
                  <c:v>16307.562332190368</c:v>
                </c:pt>
                <c:pt idx="65">
                  <c:v>17055.428636590041</c:v>
                </c:pt>
                <c:pt idx="66">
                  <c:v>17832.474678653558</c:v>
                </c:pt>
                <c:pt idx="67">
                  <c:v>18639.623600260376</c:v>
                </c:pt>
                <c:pt idx="68">
                  <c:v>19477.820122582532</c:v>
                </c:pt>
                <c:pt idx="69">
                  <c:v>20348.030834896428</c:v>
                </c:pt>
                <c:pt idx="70">
                  <c:v>21251.244482838902</c:v>
                </c:pt>
                <c:pt idx="71">
                  <c:v>22188.472256055633</c:v>
                </c:pt>
                <c:pt idx="72">
                  <c:v>23160.748075187141</c:v>
                </c:pt>
                <c:pt idx="73">
                  <c:v>24169.128878145202</c:v>
                </c:pt>
                <c:pt idx="74">
                  <c:v>25214.694905628843</c:v>
                </c:pt>
                <c:pt idx="75">
                  <c:v>26298.549985837912</c:v>
                </c:pt>
                <c:pt idx="76">
                  <c:v>27421.821818336572</c:v>
                </c:pt>
                <c:pt idx="77">
                  <c:v>28585.662257029358</c:v>
                </c:pt>
                <c:pt idx="78">
                  <c:v>29791.247592208361</c:v>
                </c:pt>
                <c:pt idx="79">
                  <c:v>31039.778831636453</c:v>
                </c:pt>
                <c:pt idx="80">
                  <c:v>32332.481980631746</c:v>
                </c:pt>
                <c:pt idx="81">
                  <c:v>33670.608321122709</c:v>
                </c:pt>
                <c:pt idx="82">
                  <c:v>35055.434689642876</c:v>
                </c:pt>
                <c:pt idx="83">
                  <c:v>36488.26375424111</c:v>
                </c:pt>
                <c:pt idx="84">
                  <c:v>37970.424290281138</c:v>
                </c:pt>
                <c:pt idx="85">
                  <c:v>39503.271455110487</c:v>
                </c:pt>
                <c:pt idx="86">
                  <c:v>41088.187061579076</c:v>
                </c:pt>
                <c:pt idx="87">
                  <c:v>42726.579850391863</c:v>
                </c:pt>
                <c:pt idx="88">
                  <c:v>44419.885761282589</c:v>
                </c:pt>
                <c:pt idx="89">
                  <c:v>46169.568202995957</c:v>
                </c:pt>
                <c:pt idx="90">
                  <c:v>47977.118322073489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75-4DAE-9ABA-76119811271F}"/>
            </c:ext>
          </c:extLst>
        </c:ser>
        <c:ser>
          <c:idx val="12"/>
          <c:order val="12"/>
          <c:tx>
            <c:strRef>
              <c:f>'Adsorption - Volumetric'!$O$14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'Adsorption - Volumetric'!$A$17:$A$107</c:f>
              <c:numCache>
                <c:formatCode>General</c:formatCode>
                <c:ptCount val="91"/>
                <c:pt idx="0">
                  <c:v>-3.5316969803990822E-3</c:v>
                </c:pt>
                <c:pt idx="1">
                  <c:v>-3.5192679922576107E-3</c:v>
                </c:pt>
                <c:pt idx="2">
                  <c:v>-3.5069261792039282E-3</c:v>
                </c:pt>
                <c:pt idx="3">
                  <c:v>-3.4946706272933779E-3</c:v>
                </c:pt>
                <c:pt idx="4">
                  <c:v>-3.4825004353125546E-3</c:v>
                </c:pt>
                <c:pt idx="5">
                  <c:v>-3.4704147145583901E-3</c:v>
                </c:pt>
                <c:pt idx="6">
                  <c:v>-3.4584125886218228E-3</c:v>
                </c:pt>
                <c:pt idx="7">
                  <c:v>-3.4464931931759437E-3</c:v>
                </c:pt>
                <c:pt idx="8">
                  <c:v>-3.4346556757685045E-3</c:v>
                </c:pt>
                <c:pt idx="9">
                  <c:v>-3.4228991956186893E-3</c:v>
                </c:pt>
                <c:pt idx="10">
                  <c:v>-3.4112229234180458E-3</c:v>
                </c:pt>
                <c:pt idx="11">
                  <c:v>-3.3996260411354754E-3</c:v>
                </c:pt>
                <c:pt idx="12">
                  <c:v>-3.3881077418261903E-3</c:v>
                </c:pt>
                <c:pt idx="13">
                  <c:v>-3.3766672294445383E-3</c:v>
                </c:pt>
                <c:pt idx="14">
                  <c:v>-3.3653037186606094E-3</c:v>
                </c:pt>
                <c:pt idx="15">
                  <c:v>-3.3540164346805303E-3</c:v>
                </c:pt>
                <c:pt idx="16">
                  <c:v>-3.3428046130703662E-3</c:v>
                </c:pt>
                <c:pt idx="17">
                  <c:v>-3.331667499583542E-3</c:v>
                </c:pt>
                <c:pt idx="18">
                  <c:v>-3.3206043499916988E-3</c:v>
                </c:pt>
                <c:pt idx="19">
                  <c:v>-3.3096144299189145E-3</c:v>
                </c:pt>
                <c:pt idx="20">
                  <c:v>-3.298697014679202E-3</c:v>
                </c:pt>
                <c:pt idx="21">
                  <c:v>-3.287851389117212E-3</c:v>
                </c:pt>
                <c:pt idx="22">
                  <c:v>-3.2770768474520728E-3</c:v>
                </c:pt>
                <c:pt idx="23">
                  <c:v>-3.2663726931242859E-3</c:v>
                </c:pt>
                <c:pt idx="24">
                  <c:v>-3.255738238645613E-3</c:v>
                </c:pt>
                <c:pt idx="25">
                  <c:v>-3.2451728054518907E-3</c:v>
                </c:pt>
                <c:pt idx="26">
                  <c:v>-3.2346757237586934E-3</c:v>
                </c:pt>
                <c:pt idx="27">
                  <c:v>-3.224246332419797E-3</c:v>
                </c:pt>
                <c:pt idx="28">
                  <c:v>-3.2138839787883662E-3</c:v>
                </c:pt>
                <c:pt idx="29">
                  <c:v>-3.2035880185808108E-3</c:v>
                </c:pt>
                <c:pt idx="30">
                  <c:v>-3.1933578157432542E-3</c:v>
                </c:pt>
                <c:pt idx="31">
                  <c:v>-3.1831927423205475E-3</c:v>
                </c:pt>
                <c:pt idx="32">
                  <c:v>-3.1730921783277807E-3</c:v>
                </c:pt>
                <c:pt idx="33">
                  <c:v>-3.1630555116242292E-3</c:v>
                </c:pt>
                <c:pt idx="34">
                  <c:v>-3.1530821377896896E-3</c:v>
                </c:pt>
                <c:pt idx="35">
                  <c:v>-3.1431714600031434E-3</c:v>
                </c:pt>
                <c:pt idx="36">
                  <c:v>-3.1333228889237038E-3</c:v>
                </c:pt>
                <c:pt idx="37">
                  <c:v>-3.1235358425737939E-3</c:v>
                </c:pt>
                <c:pt idx="38">
                  <c:v>-3.1138097462245057E-3</c:v>
                </c:pt>
                <c:pt idx="39">
                  <c:v>-3.1041440322830982E-3</c:v>
                </c:pt>
                <c:pt idx="40">
                  <c:v>-3.0945381401825778E-3</c:v>
                </c:pt>
                <c:pt idx="41">
                  <c:v>-3.0849915162733305E-3</c:v>
                </c:pt>
                <c:pt idx="42">
                  <c:v>-3.0755036137167465E-3</c:v>
                </c:pt>
                <c:pt idx="43">
                  <c:v>-3.0660738923808067E-3</c:v>
                </c:pt>
                <c:pt idx="44">
                  <c:v>-3.0567018187375823E-3</c:v>
                </c:pt>
                <c:pt idx="45">
                  <c:v>-3.0473868657626088E-3</c:v>
                </c:pt>
                <c:pt idx="46">
                  <c:v>-3.0381285128360932E-3</c:v>
                </c:pt>
                <c:pt idx="47">
                  <c:v>-3.0289262456459189E-3</c:v>
                </c:pt>
                <c:pt idx="48">
                  <c:v>-3.0197795560924054E-3</c:v>
                </c:pt>
                <c:pt idx="49">
                  <c:v>-3.0106879421947915E-3</c:v>
                </c:pt>
                <c:pt idx="50">
                  <c:v>-3.0016509079993999E-3</c:v>
                </c:pt>
                <c:pt idx="51">
                  <c:v>-2.9926679634894511E-3</c:v>
                </c:pt>
                <c:pt idx="52">
                  <c:v>-2.9837386244964941E-3</c:v>
                </c:pt>
                <c:pt idx="53">
                  <c:v>-2.974862412613417E-3</c:v>
                </c:pt>
                <c:pt idx="54">
                  <c:v>-2.9660388551090021E-3</c:v>
                </c:pt>
                <c:pt idx="55">
                  <c:v>-2.9572674848440043E-3</c:v>
                </c:pt>
                <c:pt idx="56">
                  <c:v>-2.9485478401887074E-3</c:v>
                </c:pt>
                <c:pt idx="57">
                  <c:v>-2.9398794649419377E-3</c:v>
                </c:pt>
                <c:pt idx="58">
                  <c:v>-2.9312619082515023E-3</c:v>
                </c:pt>
                <c:pt idx="59">
                  <c:v>-2.9226947245360223E-3</c:v>
                </c:pt>
                <c:pt idx="60">
                  <c:v>-2.9141774734081308E-3</c:v>
                </c:pt>
                <c:pt idx="61">
                  <c:v>-2.9057097195990121E-3</c:v>
                </c:pt>
                <c:pt idx="62">
                  <c:v>-2.8972910328842532E-3</c:v>
                </c:pt>
                <c:pt idx="63">
                  <c:v>-2.8889209880109783E-3</c:v>
                </c:pt>
                <c:pt idx="64">
                  <c:v>-2.8805991646262425E-3</c:v>
                </c:pt>
                <c:pt idx="65">
                  <c:v>-2.8723251472066642E-3</c:v>
                </c:pt>
                <c:pt idx="66">
                  <c:v>-2.8640985249892598E-3</c:v>
                </c:pt>
                <c:pt idx="67">
                  <c:v>-2.8559188919034702E-3</c:v>
                </c:pt>
                <c:pt idx="68">
                  <c:v>-2.847785846504343E-3</c:v>
                </c:pt>
                <c:pt idx="69">
                  <c:v>-2.8396989919068582E-3</c:v>
                </c:pt>
                <c:pt idx="70">
                  <c:v>-2.831657935721365E-3</c:v>
                </c:pt>
                <c:pt idx="71">
                  <c:v>-2.8236622899901172E-3</c:v>
                </c:pt>
                <c:pt idx="72">
                  <c:v>-2.8157116711248768E-3</c:v>
                </c:pt>
                <c:pt idx="73">
                  <c:v>-2.8078056998455708E-3</c:v>
                </c:pt>
                <c:pt idx="74">
                  <c:v>-2.7999440011199778E-3</c:v>
                </c:pt>
                <c:pt idx="75">
                  <c:v>-2.7921262041044259E-3</c:v>
                </c:pt>
                <c:pt idx="76">
                  <c:v>-2.78435194208548E-3</c:v>
                </c:pt>
                <c:pt idx="77">
                  <c:v>-2.7766208524226017E-3</c:v>
                </c:pt>
                <c:pt idx="78">
                  <c:v>-2.7689325764917627E-3</c:v>
                </c:pt>
                <c:pt idx="79">
                  <c:v>-2.7612867596299878E-3</c:v>
                </c:pt>
                <c:pt idx="80">
                  <c:v>-2.7536830510808208E-3</c:v>
                </c:pt>
                <c:pt idx="81">
                  <c:v>-2.746121103940684E-3</c:v>
                </c:pt>
                <c:pt idx="82">
                  <c:v>-2.738600575106121E-3</c:v>
                </c:pt>
                <c:pt idx="83">
                  <c:v>-2.7311211252219036E-3</c:v>
                </c:pt>
                <c:pt idx="84">
                  <c:v>-2.7236824186299877E-3</c:v>
                </c:pt>
                <c:pt idx="85">
                  <c:v>-2.7162841233192994E-3</c:v>
                </c:pt>
                <c:pt idx="86">
                  <c:v>-2.7089259108763375E-3</c:v>
                </c:pt>
                <c:pt idx="87">
                  <c:v>-2.7016074564365799E-3</c:v>
                </c:pt>
                <c:pt idx="88">
                  <c:v>-2.6943284386366701E-3</c:v>
                </c:pt>
                <c:pt idx="89">
                  <c:v>-2.6870885395673789E-3</c:v>
                </c:pt>
                <c:pt idx="90">
                  <c:v>-2.6798874447273215E-3</c:v>
                </c:pt>
              </c:numCache>
            </c:numRef>
          </c:xVal>
          <c:yVal>
            <c:numRef>
              <c:f>'Adsorption - Volumetric'!$O$17:$O$107</c:f>
              <c:numCache>
                <c:formatCode>General</c:formatCode>
                <c:ptCount val="91"/>
                <c:pt idx="0">
                  <c:v>538.47434556372014</c:v>
                </c:pt>
                <c:pt idx="1">
                  <c:v>577.38235921969374</c:v>
                </c:pt>
                <c:pt idx="2">
                  <c:v>618.7721638343487</c:v>
                </c:pt>
                <c:pt idx="3">
                  <c:v>662.77960687082862</c:v>
                </c:pt>
                <c:pt idx="4">
                  <c:v>709.54663132782582</c:v>
                </c:pt>
                <c:pt idx="5">
                  <c:v>759.22148065180841</c:v>
                </c:pt>
                <c:pt idx="6">
                  <c:v>811.95890762709917</c:v>
                </c:pt>
                <c:pt idx="7">
                  <c:v>867.92038722257541</c:v>
                </c:pt>
                <c:pt idx="8">
                  <c:v>927.27433337062268</c:v>
                </c:pt>
                <c:pt idx="9">
                  <c:v>990.19631965133328</c:v>
                </c:pt>
                <c:pt idx="10">
                  <c:v>1056.8693038518584</c:v>
                </c:pt>
                <c:pt idx="11">
                  <c:v>1127.4838563681049</c:v>
                </c:pt>
                <c:pt idx="12">
                  <c:v>1202.2383924131564</c:v>
                </c:pt>
                <c:pt idx="13">
                  <c:v>1281.3394079941827</c:v>
                </c:pt>
                <c:pt idx="14">
                  <c:v>1365.0017196167912</c:v>
                </c:pt>
                <c:pt idx="15">
                  <c:v>1453.4487076731907</c:v>
                </c:pt>
                <c:pt idx="16">
                  <c:v>1546.9125634681757</c:v>
                </c:pt>
                <c:pt idx="17">
                  <c:v>1645.6345398342592</c:v>
                </c:pt>
                <c:pt idx="18">
                  <c:v>1749.8652052849448</c:v>
                </c:pt>
                <c:pt idx="19">
                  <c:v>1859.8647016529055</c:v>
                </c:pt>
                <c:pt idx="20">
                  <c:v>1975.9030051574907</c:v>
                </c:pt>
                <c:pt idx="21">
                  <c:v>2098.2601908437878</c:v>
                </c:pt>
                <c:pt idx="22">
                  <c:v>2227.2267003336451</c:v>
                </c:pt>
                <c:pt idx="23">
                  <c:v>2363.1036128266451</c:v>
                </c:pt>
                <c:pt idx="24">
                  <c:v>2506.2029192876494</c:v>
                </c:pt>
                <c:pt idx="25">
                  <c:v>2656.847799755325</c:v>
                </c:pt>
                <c:pt idx="26">
                  <c:v>2815.3729037044905</c:v>
                </c:pt>
                <c:pt idx="27">
                  <c:v>2982.1246333936774</c:v>
                </c:pt>
                <c:pt idx="28">
                  <c:v>3157.461430127636</c:v>
                </c:pt>
                <c:pt idx="29">
                  <c:v>3341.7540633631347</c:v>
                </c:pt>
                <c:pt idx="30">
                  <c:v>3535.3859225852439</c:v>
                </c:pt>
                <c:pt idx="31">
                  <c:v>3738.7533118799406</c:v>
                </c:pt>
                <c:pt idx="32">
                  <c:v>3952.2657471280108</c:v>
                </c:pt>
                <c:pt idx="33">
                  <c:v>4176.3462557441717</c:v>
                </c:pt>
                <c:pt idx="34">
                  <c:v>4411.4316788844098</c:v>
                </c:pt>
                <c:pt idx="35">
                  <c:v>4657.9729760438368</c:v>
                </c:pt>
                <c:pt idx="36">
                  <c:v>4916.4355319671686</c:v>
                </c:pt>
                <c:pt idx="37">
                  <c:v>5187.2994657925956</c:v>
                </c:pt>
                <c:pt idx="38">
                  <c:v>5471.0599423501862</c:v>
                </c:pt>
                <c:pt idx="39">
                  <c:v>5768.2274855354162</c:v>
                </c:pt>
                <c:pt idx="40">
                  <c:v>6079.3282936781325</c:v>
                </c:pt>
                <c:pt idx="41">
                  <c:v>6404.9045568277024</c:v>
                </c:pt>
                <c:pt idx="42">
                  <c:v>6745.5147758743797</c:v>
                </c:pt>
                <c:pt idx="43">
                  <c:v>7101.734083427923</c:v>
                </c:pt>
                <c:pt idx="44">
                  <c:v>7474.1545663744955</c:v>
                </c:pt>
                <c:pt idx="45">
                  <c:v>7863.3855900332592</c:v>
                </c:pt>
                <c:pt idx="46">
                  <c:v>8270.0541238344722</c:v>
                </c:pt>
                <c:pt idx="47">
                  <c:v>8694.805068442216</c:v>
                </c:pt>
                <c:pt idx="48">
                  <c:v>9138.3015842447567</c:v>
                </c:pt>
                <c:pt idx="49">
                  <c:v>9601.2254211372747</c:v>
                </c:pt>
                <c:pt idx="50">
                  <c:v>10084.27724952202</c:v>
                </c:pt>
                <c:pt idx="51">
                  <c:v>10588.176992452672</c:v>
                </c:pt>
                <c:pt idx="52">
                  <c:v>11113.664158850315</c:v>
                </c:pt>
                <c:pt idx="53">
                  <c:v>11661.498177720583</c:v>
                </c:pt>
                <c:pt idx="54">
                  <c:v>12232.458733301653</c:v>
                </c:pt>
                <c:pt idx="55">
                  <c:v>12827.346101076339</c:v>
                </c:pt>
                <c:pt idx="56">
                  <c:v>13446.981484580632</c:v>
                </c:pt>
                <c:pt idx="57">
                  <c:v>14092.207352945859</c:v>
                </c:pt>
                <c:pt idx="58">
                  <c:v>14763.887779109946</c:v>
                </c:pt>
                <c:pt idx="59">
                  <c:v>15462.908778638995</c:v>
                </c:pt>
                <c:pt idx="60">
                  <c:v>16190.178649099231</c:v>
                </c:pt>
                <c:pt idx="61">
                  <c:v>16946.628309923908</c:v>
                </c:pt>
                <c:pt idx="62">
                  <c:v>17733.211642720384</c:v>
                </c:pt>
                <c:pt idx="63">
                  <c:v>18550.905831966298</c:v>
                </c:pt>
                <c:pt idx="64">
                  <c:v>19400.711706045011</c:v>
                </c:pt>
                <c:pt idx="65">
                  <c:v>20283.654078574189</c:v>
                </c:pt>
                <c:pt idx="66">
                  <c:v>21200.782089983113</c:v>
                </c:pt>
                <c:pt idx="67">
                  <c:v>22153.169549297956</c:v>
                </c:pt>
                <c:pt idx="68">
                  <c:v>23141.915276095933</c:v>
                </c:pt>
                <c:pt idx="69">
                  <c:v>24168.143442594017</c:v>
                </c:pt>
                <c:pt idx="70">
                  <c:v>25233.00391583793</c:v>
                </c:pt>
                <c:pt idx="71">
                  <c:v>26337.672599964935</c:v>
                </c:pt>
                <c:pt idx="72">
                  <c:v>27483.35177851094</c:v>
                </c:pt>
                <c:pt idx="73">
                  <c:v>28671.270456742513</c:v>
                </c:pt>
                <c:pt idx="74">
                  <c:v>29902.684703990832</c:v>
                </c:pt>
                <c:pt idx="75">
                  <c:v>31178.877995976054</c:v>
                </c:pt>
                <c:pt idx="76">
                  <c:v>32501.161557104399</c:v>
                </c:pt>
                <c:pt idx="77">
                  <c:v>33870.874702734029</c:v>
                </c:pt>
                <c:pt idx="78">
                  <c:v>35289.385181401369</c:v>
                </c:pt>
                <c:pt idx="79">
                  <c:v>36758.089517008208</c:v>
                </c:pt>
                <c:pt idx="80">
                  <c:v>38278.413350971423</c:v>
                </c:pt>
                <c:pt idx="81">
                  <c:v>39851.811784343045</c:v>
                </c:pt>
                <c:pt idx="82">
                  <c:v>41479.769719908865</c:v>
                </c:pt>
                <c:pt idx="83">
                  <c:v>43163.802204283696</c:v>
                </c:pt>
                <c:pt idx="84">
                  <c:v>44905.454770018914</c:v>
                </c:pt>
                <c:pt idx="85">
                  <c:v>46706.303777748268</c:v>
                </c:pt>
                <c:pt idx="86">
                  <c:v>48567.956758397362</c:v>
                </c:pt>
                <c:pt idx="87">
                  <c:v>50492.0527554906</c:v>
                </c:pt>
                <c:pt idx="88">
                  <c:v>52480.262667591953</c:v>
                </c:pt>
                <c:pt idx="89">
                  <c:v>54534.289590918896</c:v>
                </c:pt>
                <c:pt idx="90">
                  <c:v>56655.869162179377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75-4DAE-9ABA-761198112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73999"/>
        <c:axId val="778163183"/>
      </c:scatterChart>
      <c:valAx>
        <c:axId val="778173999"/>
        <c:scaling>
          <c:orientation val="minMax"/>
          <c:max val="-2.5000000000000005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-1/T / -1/K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8163183"/>
        <c:crosses val="autoZero"/>
        <c:crossBetween val="midCat"/>
      </c:valAx>
      <c:valAx>
        <c:axId val="77816318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log (p)</a:t>
                </a:r>
                <a:r>
                  <a:rPr lang="de-DE" baseline="0"/>
                  <a:t> / Pa</a:t>
                </a:r>
                <a:endParaRPr lang="de-DE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781739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1</xdr:row>
      <xdr:rowOff>0</xdr:rowOff>
    </xdr:from>
    <xdr:to>
      <xdr:col>27</xdr:col>
      <xdr:colOff>0</xdr:colOff>
      <xdr:row>33</xdr:row>
      <xdr:rowOff>0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O107"/>
  <sheetViews>
    <sheetView tabSelected="1" zoomScale="85" zoomScaleNormal="85" workbookViewId="0">
      <selection activeCell="AH24" sqref="AH24"/>
    </sheetView>
  </sheetViews>
  <sheetFormatPr baseColWidth="10" defaultColWidth="9.140625" defaultRowHeight="15" x14ac:dyDescent="0.25"/>
  <cols>
    <col min="1" max="1" width="12.85546875" bestFit="1" customWidth="1"/>
    <col min="2" max="2" width="7.140625" bestFit="1" customWidth="1"/>
    <col min="3" max="3" width="12.28515625" bestFit="1" customWidth="1"/>
    <col min="4" max="4" width="28.42578125" customWidth="1"/>
    <col min="5" max="15" width="12.28515625" bestFit="1" customWidth="1"/>
  </cols>
  <sheetData>
    <row r="1" spans="1:15" ht="15.75" thickBot="1" x14ac:dyDescent="0.3"/>
    <row r="2" spans="1:15" ht="15.75" thickBot="1" x14ac:dyDescent="0.3">
      <c r="B2" s="5" t="s">
        <v>5</v>
      </c>
      <c r="C2" s="6"/>
      <c r="D2" s="7"/>
    </row>
    <row r="3" spans="1:15" x14ac:dyDescent="0.25">
      <c r="B3" s="3" t="s">
        <v>7</v>
      </c>
      <c r="C3" s="4"/>
      <c r="D3" s="1" t="s">
        <v>4</v>
      </c>
    </row>
    <row r="4" spans="1:15" x14ac:dyDescent="0.25">
      <c r="B4" s="3" t="s">
        <v>8</v>
      </c>
      <c r="C4" s="4"/>
      <c r="D4" s="1">
        <v>123</v>
      </c>
    </row>
    <row r="5" spans="1:15" x14ac:dyDescent="0.25">
      <c r="B5" s="3" t="s">
        <v>9</v>
      </c>
      <c r="C5" s="4"/>
      <c r="D5" s="1" t="s">
        <v>3</v>
      </c>
    </row>
    <row r="6" spans="1:15" x14ac:dyDescent="0.25">
      <c r="B6" s="3"/>
      <c r="C6" s="4"/>
      <c r="D6" s="1"/>
    </row>
    <row r="7" spans="1:15" x14ac:dyDescent="0.25">
      <c r="B7" s="3" t="s">
        <v>10</v>
      </c>
      <c r="C7" s="4"/>
      <c r="D7" s="1" t="s">
        <v>0</v>
      </c>
    </row>
    <row r="8" spans="1:15" x14ac:dyDescent="0.25">
      <c r="B8" s="3" t="s">
        <v>6</v>
      </c>
      <c r="C8" s="4"/>
      <c r="D8" s="1">
        <v>1</v>
      </c>
    </row>
    <row r="9" spans="1:15" x14ac:dyDescent="0.25">
      <c r="B9" s="3" t="s">
        <v>11</v>
      </c>
      <c r="C9" s="4"/>
      <c r="D9" s="1" t="s">
        <v>1</v>
      </c>
    </row>
    <row r="10" spans="1:15" x14ac:dyDescent="0.25">
      <c r="B10" s="3" t="s">
        <v>6</v>
      </c>
      <c r="C10" s="4"/>
      <c r="D10" s="1">
        <v>1</v>
      </c>
    </row>
    <row r="11" spans="1:15" x14ac:dyDescent="0.25">
      <c r="B11" s="3" t="s">
        <v>12</v>
      </c>
      <c r="C11" s="4"/>
      <c r="D11" s="1" t="s">
        <v>2</v>
      </c>
    </row>
    <row r="12" spans="1:15" ht="15.75" thickBot="1" x14ac:dyDescent="0.3">
      <c r="B12" s="8" t="s">
        <v>6</v>
      </c>
      <c r="C12" s="9"/>
      <c r="D12" s="2">
        <v>1</v>
      </c>
    </row>
    <row r="14" spans="1:15" x14ac:dyDescent="0.25">
      <c r="A14" s="10"/>
      <c r="B14" s="11" t="s">
        <v>16</v>
      </c>
      <c r="C14" s="11"/>
      <c r="D14" s="10">
        <v>2</v>
      </c>
      <c r="E14" s="10">
        <v>3</v>
      </c>
      <c r="F14" s="10">
        <v>4</v>
      </c>
      <c r="G14" s="10">
        <v>5</v>
      </c>
      <c r="H14" s="10">
        <v>7.5</v>
      </c>
      <c r="I14" s="10">
        <v>10</v>
      </c>
      <c r="J14" s="10">
        <v>12.5</v>
      </c>
      <c r="K14" s="10">
        <v>15</v>
      </c>
      <c r="L14" s="10">
        <v>17.5</v>
      </c>
      <c r="M14" s="10">
        <v>20</v>
      </c>
      <c r="N14" s="10">
        <v>25</v>
      </c>
      <c r="O14" s="10">
        <v>30</v>
      </c>
    </row>
    <row r="15" spans="1:15" x14ac:dyDescent="0.25">
      <c r="A15" s="12" t="s">
        <v>17</v>
      </c>
      <c r="B15" s="10" t="s">
        <v>13</v>
      </c>
      <c r="C15" s="10" t="s">
        <v>14</v>
      </c>
      <c r="D15" s="10" t="s">
        <v>15</v>
      </c>
      <c r="E15" s="10" t="s">
        <v>15</v>
      </c>
      <c r="F15" s="10" t="s">
        <v>15</v>
      </c>
      <c r="G15" s="10" t="s">
        <v>15</v>
      </c>
      <c r="H15" s="10" t="s">
        <v>15</v>
      </c>
      <c r="I15" s="10" t="s">
        <v>15</v>
      </c>
      <c r="J15" s="10" t="s">
        <v>15</v>
      </c>
      <c r="K15" s="10" t="s">
        <v>15</v>
      </c>
      <c r="L15" s="10" t="s">
        <v>15</v>
      </c>
      <c r="M15" s="10" t="s">
        <v>15</v>
      </c>
      <c r="N15" s="10" t="s">
        <v>15</v>
      </c>
      <c r="O15" s="10" t="s">
        <v>15</v>
      </c>
    </row>
    <row r="17" spans="1:15" x14ac:dyDescent="0.25">
      <c r="A17">
        <f>-1/B17</f>
        <v>-3.5316969803990822E-3</v>
      </c>
      <c r="B17">
        <v>283.14999999999998</v>
      </c>
      <c r="C17">
        <f>ws_direct_ref_p_sat_T(B17,$D$3,$D$4,$D$5,$D$7,$D$8,$D$9,$D$10,$D$11,$D$12)</f>
        <v>1228.1121508936101</v>
      </c>
      <c r="D17">
        <f>ws_direct_ads_p_wT(D$14/100,$B17,$D$3,$D$4,$D$5,$D$7,$D$8,$D$9,$D$10,$D$11,$D$12)</f>
        <v>0.62342367923455821</v>
      </c>
      <c r="E17">
        <f t="shared" ref="E17:O32" si="0">ws_direct_ads_p_wT(E$14/100,$B17,$D$3,$D$4,$D$5,$D$7,$D$8,$D$9,$D$10,$D$11,$D$12)</f>
        <v>8.1256850137026113</v>
      </c>
      <c r="F17">
        <f t="shared" si="0"/>
        <v>25.499486474532606</v>
      </c>
      <c r="G17">
        <f t="shared" si="0"/>
        <v>48.893508506128811</v>
      </c>
      <c r="H17">
        <f t="shared" si="0"/>
        <v>113.36980066632503</v>
      </c>
      <c r="I17">
        <f t="shared" si="0"/>
        <v>172.777663195907</v>
      </c>
      <c r="J17">
        <f t="shared" si="0"/>
        <v>224.77738962604107</v>
      </c>
      <c r="K17">
        <f t="shared" si="0"/>
        <v>271.11283906451905</v>
      </c>
      <c r="L17">
        <f t="shared" si="0"/>
        <v>313.85119490553848</v>
      </c>
      <c r="M17">
        <f t="shared" si="0"/>
        <v>354.844251198991</v>
      </c>
      <c r="N17">
        <f t="shared" si="0"/>
        <v>438.50777228019729</v>
      </c>
      <c r="O17">
        <f t="shared" si="0"/>
        <v>538.47434556372014</v>
      </c>
    </row>
    <row r="18" spans="1:15" x14ac:dyDescent="0.25">
      <c r="A18">
        <f t="shared" ref="A18:A81" si="1">-1/B18</f>
        <v>-3.5192679922576107E-3</v>
      </c>
      <c r="B18">
        <v>284.14999999999998</v>
      </c>
      <c r="C18">
        <f t="shared" ref="C18:C81" si="2">ws_direct_ref_p_sat_T(B18,$D$3,$D$4,$D$5,$D$7,$D$8,$D$9,$D$10,$D$11,$D$12)</f>
        <v>1312.8752898099151</v>
      </c>
      <c r="D18">
        <f t="shared" ref="D18:O33" si="3">ws_direct_ads_p_wT(D$14/100,$B18,$D$3,$D$4,$D$5,$D$7,$D$8,$D$9,$D$10,$D$11,$D$12)</f>
        <v>0.68502107227744435</v>
      </c>
      <c r="E18">
        <f t="shared" si="0"/>
        <v>8.8452245117029804</v>
      </c>
      <c r="F18">
        <f t="shared" si="0"/>
        <v>27.642297152950835</v>
      </c>
      <c r="G18">
        <f t="shared" si="0"/>
        <v>52.877162016093195</v>
      </c>
      <c r="H18">
        <f t="shared" si="0"/>
        <v>122.23415919820727</v>
      </c>
      <c r="I18">
        <f t="shared" si="0"/>
        <v>186.00433733067885</v>
      </c>
      <c r="J18">
        <f t="shared" si="0"/>
        <v>241.75631058912441</v>
      </c>
      <c r="K18">
        <f t="shared" si="0"/>
        <v>291.39657057368299</v>
      </c>
      <c r="L18">
        <f t="shared" si="0"/>
        <v>337.15710594821678</v>
      </c>
      <c r="M18">
        <f t="shared" si="0"/>
        <v>381.02921657604065</v>
      </c>
      <c r="N18">
        <f t="shared" si="0"/>
        <v>470.51987658214114</v>
      </c>
      <c r="O18">
        <f t="shared" si="0"/>
        <v>577.38235921969374</v>
      </c>
    </row>
    <row r="19" spans="1:15" x14ac:dyDescent="0.25">
      <c r="A19">
        <f t="shared" si="1"/>
        <v>-3.5069261792039282E-3</v>
      </c>
      <c r="B19">
        <v>285.14999999999998</v>
      </c>
      <c r="C19">
        <f t="shared" si="2"/>
        <v>1402.7477574648547</v>
      </c>
      <c r="D19">
        <f t="shared" si="3"/>
        <v>0.75224365285273675</v>
      </c>
      <c r="E19">
        <f t="shared" si="0"/>
        <v>9.6227662493595592</v>
      </c>
      <c r="F19">
        <f t="shared" si="0"/>
        <v>29.947713199262189</v>
      </c>
      <c r="G19">
        <f t="shared" si="0"/>
        <v>57.152451109798903</v>
      </c>
      <c r="H19">
        <f t="shared" si="0"/>
        <v>131.71700480688216</v>
      </c>
      <c r="I19">
        <f t="shared" si="0"/>
        <v>200.13131793048473</v>
      </c>
      <c r="J19">
        <f t="shared" si="0"/>
        <v>259.87307082795024</v>
      </c>
      <c r="K19">
        <f t="shared" si="0"/>
        <v>313.0246126660083</v>
      </c>
      <c r="L19">
        <f t="shared" si="0"/>
        <v>361.99439353673733</v>
      </c>
      <c r="M19">
        <f t="shared" si="0"/>
        <v>408.92253356918536</v>
      </c>
      <c r="N19">
        <f t="shared" si="0"/>
        <v>504.59585268829107</v>
      </c>
      <c r="O19">
        <f t="shared" si="0"/>
        <v>618.7721638343487</v>
      </c>
    </row>
    <row r="20" spans="1:15" x14ac:dyDescent="0.25">
      <c r="A20">
        <f t="shared" si="1"/>
        <v>-3.4946706272933779E-3</v>
      </c>
      <c r="B20">
        <v>286.14999999999998</v>
      </c>
      <c r="C20">
        <f t="shared" si="2"/>
        <v>1497.9898213215665</v>
      </c>
      <c r="D20">
        <f t="shared" si="3"/>
        <v>0.8255602494640879</v>
      </c>
      <c r="E20">
        <f t="shared" si="0"/>
        <v>10.462496559807155</v>
      </c>
      <c r="F20">
        <f t="shared" si="0"/>
        <v>32.426667172804855</v>
      </c>
      <c r="G20">
        <f t="shared" si="0"/>
        <v>61.738166425582904</v>
      </c>
      <c r="H20">
        <f t="shared" si="0"/>
        <v>141.85596238699242</v>
      </c>
      <c r="I20">
        <f t="shared" si="0"/>
        <v>215.21176964623345</v>
      </c>
      <c r="J20">
        <f t="shared" si="0"/>
        <v>279.19361503837268</v>
      </c>
      <c r="K20">
        <f t="shared" si="0"/>
        <v>336.07384821598589</v>
      </c>
      <c r="L20">
        <f t="shared" si="0"/>
        <v>388.44974799746137</v>
      </c>
      <c r="M20">
        <f t="shared" si="0"/>
        <v>438.62010453214293</v>
      </c>
      <c r="N20">
        <f t="shared" si="0"/>
        <v>540.84999083000707</v>
      </c>
      <c r="O20">
        <f t="shared" si="0"/>
        <v>662.77960687082862</v>
      </c>
    </row>
    <row r="21" spans="1:15" x14ac:dyDescent="0.25">
      <c r="A21">
        <f t="shared" si="1"/>
        <v>-3.4825004353125546E-3</v>
      </c>
      <c r="B21">
        <v>287.14999999999998</v>
      </c>
      <c r="C21">
        <f t="shared" si="2"/>
        <v>1598.872326983111</v>
      </c>
      <c r="D21">
        <f t="shared" si="3"/>
        <v>0.90547480325441576</v>
      </c>
      <c r="E21">
        <f t="shared" si="0"/>
        <v>11.368866311344288</v>
      </c>
      <c r="F21">
        <f t="shared" si="0"/>
        <v>35.090725471745515</v>
      </c>
      <c r="G21">
        <f t="shared" si="0"/>
        <v>66.654132273519835</v>
      </c>
      <c r="H21">
        <f t="shared" si="0"/>
        <v>152.69058276679255</v>
      </c>
      <c r="I21">
        <f t="shared" si="0"/>
        <v>231.30147778650965</v>
      </c>
      <c r="J21">
        <f t="shared" si="0"/>
        <v>299.78706193351121</v>
      </c>
      <c r="K21">
        <f t="shared" si="0"/>
        <v>360.62479858326594</v>
      </c>
      <c r="L21">
        <f t="shared" si="0"/>
        <v>416.61390953483425</v>
      </c>
      <c r="M21">
        <f t="shared" si="0"/>
        <v>470.22226528742863</v>
      </c>
      <c r="N21">
        <f t="shared" si="0"/>
        <v>579.40177746701295</v>
      </c>
      <c r="O21">
        <f t="shared" si="0"/>
        <v>709.54663132782582</v>
      </c>
    </row>
    <row r="22" spans="1:15" x14ac:dyDescent="0.25">
      <c r="A22">
        <f t="shared" si="1"/>
        <v>-3.4704147145583901E-3</v>
      </c>
      <c r="B22">
        <v>288.14999999999998</v>
      </c>
      <c r="C22">
        <f t="shared" si="2"/>
        <v>1705.677000368174</v>
      </c>
      <c r="D22">
        <f t="shared" si="3"/>
        <v>0.99252868132937444</v>
      </c>
      <c r="E22">
        <f t="shared" si="0"/>
        <v>12.346605048911396</v>
      </c>
      <c r="F22">
        <f t="shared" si="0"/>
        <v>37.952118656951903</v>
      </c>
      <c r="G22">
        <f t="shared" si="0"/>
        <v>71.921252751253789</v>
      </c>
      <c r="H22">
        <f t="shared" si="0"/>
        <v>164.26242054835959</v>
      </c>
      <c r="I22">
        <f t="shared" si="0"/>
        <v>248.45894874691589</v>
      </c>
      <c r="J22">
        <f t="shared" si="0"/>
        <v>321.72582179905964</v>
      </c>
      <c r="K22">
        <f t="shared" si="0"/>
        <v>386.76175513600731</v>
      </c>
      <c r="L22">
        <f t="shared" si="0"/>
        <v>446.58181193224334</v>
      </c>
      <c r="M22">
        <f t="shared" si="0"/>
        <v>503.83394010751846</v>
      </c>
      <c r="N22">
        <f t="shared" si="0"/>
        <v>620.3760728104096</v>
      </c>
      <c r="O22">
        <f t="shared" si="0"/>
        <v>759.22148065180841</v>
      </c>
    </row>
    <row r="23" spans="1:15" x14ac:dyDescent="0.25">
      <c r="A23">
        <f t="shared" si="1"/>
        <v>-3.4584125886218228E-3</v>
      </c>
      <c r="B23">
        <v>289.14999999999998</v>
      </c>
      <c r="C23">
        <f t="shared" si="2"/>
        <v>1818.6967535254296</v>
      </c>
      <c r="D23">
        <f t="shared" si="3"/>
        <v>1.0873031198661516</v>
      </c>
      <c r="E23">
        <f t="shared" si="0"/>
        <v>13.400735737319527</v>
      </c>
      <c r="F23">
        <f t="shared" si="0"/>
        <v>41.023772874127509</v>
      </c>
      <c r="G23">
        <f t="shared" si="0"/>
        <v>77.561559357916053</v>
      </c>
      <c r="H23">
        <f t="shared" si="0"/>
        <v>176.6151140884034</v>
      </c>
      <c r="I23">
        <f t="shared" si="0"/>
        <v>266.74551294476584</v>
      </c>
      <c r="J23">
        <f t="shared" si="0"/>
        <v>345.08571679469588</v>
      </c>
      <c r="K23">
        <f t="shared" si="0"/>
        <v>414.57291370190455</v>
      </c>
      <c r="L23">
        <f t="shared" si="0"/>
        <v>478.45272933396819</v>
      </c>
      <c r="M23">
        <f t="shared" si="0"/>
        <v>539.56479992022059</v>
      </c>
      <c r="N23">
        <f t="shared" si="0"/>
        <v>663.90329187746113</v>
      </c>
      <c r="O23">
        <f t="shared" si="0"/>
        <v>811.95890762709917</v>
      </c>
    </row>
    <row r="24" spans="1:15" x14ac:dyDescent="0.25">
      <c r="A24">
        <f t="shared" si="1"/>
        <v>-3.4464931931759437E-3</v>
      </c>
      <c r="B24">
        <v>290.14999999999998</v>
      </c>
      <c r="C24">
        <f t="shared" si="2"/>
        <v>1938.235993971228</v>
      </c>
      <c r="D24">
        <f t="shared" si="3"/>
        <v>1.1904218028673732</v>
      </c>
      <c r="E24">
        <f t="shared" si="0"/>
        <v>14.53659012396866</v>
      </c>
      <c r="F24">
        <f t="shared" si="0"/>
        <v>44.319342397786407</v>
      </c>
      <c r="G24">
        <f t="shared" si="0"/>
        <v>83.598260130653586</v>
      </c>
      <c r="H24">
        <f t="shared" si="0"/>
        <v>189.79446763861611</v>
      </c>
      <c r="I24">
        <f t="shared" si="0"/>
        <v>286.22543027048414</v>
      </c>
      <c r="J24">
        <f t="shared" si="0"/>
        <v>369.94610400610509</v>
      </c>
      <c r="K24">
        <f t="shared" si="0"/>
        <v>444.15051194554258</v>
      </c>
      <c r="L24">
        <f t="shared" si="0"/>
        <v>512.33042610184873</v>
      </c>
      <c r="M24">
        <f t="shared" si="0"/>
        <v>577.52942372754092</v>
      </c>
      <c r="N24">
        <f t="shared" si="0"/>
        <v>710.11958906052064</v>
      </c>
      <c r="O24">
        <f t="shared" si="0"/>
        <v>867.92038722257541</v>
      </c>
    </row>
    <row r="25" spans="1:15" x14ac:dyDescent="0.25">
      <c r="A25">
        <f t="shared" si="1"/>
        <v>-3.4346556757685045E-3</v>
      </c>
      <c r="B25">
        <v>291.14999999999998</v>
      </c>
      <c r="C25">
        <f t="shared" si="2"/>
        <v>2064.6109374308776</v>
      </c>
      <c r="D25">
        <f t="shared" si="3"/>
        <v>1.3025535826081127</v>
      </c>
      <c r="E25">
        <f t="shared" si="0"/>
        <v>15.759824738983644</v>
      </c>
      <c r="F25">
        <f t="shared" si="0"/>
        <v>47.853243320543619</v>
      </c>
      <c r="G25">
        <f t="shared" si="0"/>
        <v>90.055790327831545</v>
      </c>
      <c r="H25">
        <f t="shared" si="0"/>
        <v>203.84853566329897</v>
      </c>
      <c r="I25">
        <f t="shared" si="0"/>
        <v>306.96599806538285</v>
      </c>
      <c r="J25">
        <f t="shared" si="0"/>
        <v>396.39000125010045</v>
      </c>
      <c r="K25">
        <f t="shared" si="0"/>
        <v>475.5909696684493</v>
      </c>
      <c r="L25">
        <f t="shared" si="0"/>
        <v>548.32330973781484</v>
      </c>
      <c r="M25">
        <f t="shared" si="0"/>
        <v>617.8474632246681</v>
      </c>
      <c r="N25">
        <f t="shared" si="0"/>
        <v>759.16704618952929</v>
      </c>
      <c r="O25">
        <f t="shared" si="0"/>
        <v>927.27433337062268</v>
      </c>
    </row>
    <row r="26" spans="1:15" x14ac:dyDescent="0.25">
      <c r="A26">
        <f t="shared" si="1"/>
        <v>-3.4228991956186893E-3</v>
      </c>
      <c r="B26">
        <v>292.14999999999998</v>
      </c>
      <c r="C26">
        <f t="shared" si="2"/>
        <v>2198.1499238605602</v>
      </c>
      <c r="D26">
        <f t="shared" si="3"/>
        <v>1.4244153480156485</v>
      </c>
      <c r="E26">
        <f t="shared" si="0"/>
        <v>17.076437550884616</v>
      </c>
      <c r="F26">
        <f t="shared" si="0"/>
        <v>51.640688411086053</v>
      </c>
      <c r="G26">
        <f t="shared" si="0"/>
        <v>96.959864682524142</v>
      </c>
      <c r="H26">
        <f t="shared" si="0"/>
        <v>218.82770935089178</v>
      </c>
      <c r="I26">
        <f t="shared" si="0"/>
        <v>329.03766163392447</v>
      </c>
      <c r="J26">
        <f t="shared" si="0"/>
        <v>424.50421563348459</v>
      </c>
      <c r="K26">
        <f t="shared" si="0"/>
        <v>508.99503202616717</v>
      </c>
      <c r="L26">
        <f t="shared" si="0"/>
        <v>586.5445868612062</v>
      </c>
      <c r="M26">
        <f t="shared" si="0"/>
        <v>660.64381060336427</v>
      </c>
      <c r="N26">
        <f t="shared" si="0"/>
        <v>811.19386406498154</v>
      </c>
      <c r="O26">
        <f t="shared" si="0"/>
        <v>990.19631965133328</v>
      </c>
    </row>
    <row r="27" spans="1:15" x14ac:dyDescent="0.25">
      <c r="A27">
        <f t="shared" si="1"/>
        <v>-3.4112229234180458E-3</v>
      </c>
      <c r="B27">
        <v>293.14999999999998</v>
      </c>
      <c r="C27">
        <f t="shared" si="2"/>
        <v>2339.1937366227544</v>
      </c>
      <c r="D27">
        <f t="shared" si="3"/>
        <v>1.5567750474139976</v>
      </c>
      <c r="E27">
        <f t="shared" si="0"/>
        <v>18.492785296082332</v>
      </c>
      <c r="F27">
        <f t="shared" si="0"/>
        <v>55.697723164044795</v>
      </c>
      <c r="G27">
        <f t="shared" si="0"/>
        <v>104.33753124939015</v>
      </c>
      <c r="H27">
        <f t="shared" si="0"/>
        <v>234.7848053347613</v>
      </c>
      <c r="I27">
        <f t="shared" si="0"/>
        <v>352.51412729685586</v>
      </c>
      <c r="J27">
        <f t="shared" si="0"/>
        <v>454.37947486423343</v>
      </c>
      <c r="K27">
        <f t="shared" si="0"/>
        <v>544.46791565435706</v>
      </c>
      <c r="L27">
        <f t="shared" si="0"/>
        <v>627.11242222732312</v>
      </c>
      <c r="M27">
        <f t="shared" si="0"/>
        <v>706.04876952139239</v>
      </c>
      <c r="N27">
        <f t="shared" si="0"/>
        <v>866.35455743534339</v>
      </c>
      <c r="O27">
        <f t="shared" si="0"/>
        <v>1056.8693038518584</v>
      </c>
    </row>
    <row r="28" spans="1:15" x14ac:dyDescent="0.25">
      <c r="A28">
        <f t="shared" si="1"/>
        <v>-3.3996260411354754E-3</v>
      </c>
      <c r="B28">
        <v>294.14999999999998</v>
      </c>
      <c r="C28">
        <f t="shared" si="2"/>
        <v>2488.0959246848061</v>
      </c>
      <c r="D28">
        <f t="shared" si="3"/>
        <v>1.700454872263008</v>
      </c>
      <c r="E28">
        <f t="shared" si="0"/>
        <v>20.015601500651407</v>
      </c>
      <c r="F28">
        <f t="shared" si="0"/>
        <v>60.041263064832435</v>
      </c>
      <c r="G28">
        <f t="shared" si="0"/>
        <v>112.21722686751936</v>
      </c>
      <c r="H28">
        <f t="shared" si="0"/>
        <v>251.7751566374148</v>
      </c>
      <c r="I28">
        <f t="shared" si="0"/>
        <v>377.47247798995892</v>
      </c>
      <c r="J28">
        <f t="shared" si="0"/>
        <v>486.11056131166583</v>
      </c>
      <c r="K28">
        <f t="shared" si="0"/>
        <v>582.11945769382908</v>
      </c>
      <c r="L28">
        <f t="shared" si="0"/>
        <v>670.15010077135514</v>
      </c>
      <c r="M28">
        <f t="shared" si="0"/>
        <v>754.19822921720424</v>
      </c>
      <c r="N28">
        <f t="shared" si="0"/>
        <v>924.81015339029886</v>
      </c>
      <c r="O28">
        <f t="shared" si="0"/>
        <v>1127.4838563681049</v>
      </c>
    </row>
    <row r="29" spans="1:15" x14ac:dyDescent="0.25">
      <c r="A29">
        <f t="shared" si="1"/>
        <v>-3.3881077418261903E-3</v>
      </c>
      <c r="B29">
        <v>295.14999999999998</v>
      </c>
      <c r="C29">
        <f t="shared" si="2"/>
        <v>2645.2231277067672</v>
      </c>
      <c r="D29">
        <f t="shared" si="3"/>
        <v>1.8563346087187822</v>
      </c>
      <c r="E29">
        <f t="shared" si="0"/>
        <v>21.652015212995156</v>
      </c>
      <c r="F29">
        <f t="shared" si="0"/>
        <v>64.689132092330269</v>
      </c>
      <c r="G29">
        <f t="shared" si="0"/>
        <v>120.62883426128491</v>
      </c>
      <c r="H29">
        <f t="shared" si="0"/>
        <v>269.85670585104094</v>
      </c>
      <c r="I29">
        <f t="shared" si="0"/>
        <v>403.99329141146427</v>
      </c>
      <c r="J29">
        <f t="shared" si="0"/>
        <v>519.79644881026172</v>
      </c>
      <c r="K29">
        <f t="shared" si="0"/>
        <v>622.06426770217547</v>
      </c>
      <c r="L29">
        <f t="shared" si="0"/>
        <v>715.78619265947066</v>
      </c>
      <c r="M29">
        <f t="shared" si="0"/>
        <v>805.23384174659532</v>
      </c>
      <c r="N29">
        <f t="shared" si="0"/>
        <v>986.72839313847953</v>
      </c>
      <c r="O29">
        <f t="shared" si="0"/>
        <v>1202.2383924131564</v>
      </c>
    </row>
    <row r="30" spans="1:15" x14ac:dyDescent="0.25">
      <c r="A30">
        <f t="shared" si="1"/>
        <v>-3.3766672294445383E-3</v>
      </c>
      <c r="B30">
        <v>296.14999999999998</v>
      </c>
      <c r="C30">
        <f t="shared" si="2"/>
        <v>2810.9554038817464</v>
      </c>
      <c r="D30">
        <f t="shared" si="3"/>
        <v>2.0253551640447438</v>
      </c>
      <c r="E30">
        <f t="shared" si="0"/>
        <v>23.409570466156101</v>
      </c>
      <c r="F30">
        <f t="shared" si="0"/>
        <v>69.660102482116642</v>
      </c>
      <c r="G30">
        <f t="shared" si="0"/>
        <v>129.60374080067479</v>
      </c>
      <c r="H30">
        <f t="shared" si="0"/>
        <v>289.09010056603341</v>
      </c>
      <c r="I30">
        <f t="shared" si="0"/>
        <v>432.16076071951409</v>
      </c>
      <c r="J30">
        <f t="shared" si="0"/>
        <v>555.54044219987031</v>
      </c>
      <c r="K30">
        <f t="shared" si="0"/>
        <v>664.4218824375771</v>
      </c>
      <c r="L30">
        <f t="shared" si="0"/>
        <v>764.15472132658601</v>
      </c>
      <c r="M30">
        <f t="shared" si="0"/>
        <v>859.30320231567293</v>
      </c>
      <c r="N30">
        <f t="shared" si="0"/>
        <v>1052.2839371358152</v>
      </c>
      <c r="O30">
        <f t="shared" si="0"/>
        <v>1281.3394079941827</v>
      </c>
    </row>
    <row r="31" spans="1:15" x14ac:dyDescent="0.25">
      <c r="A31">
        <f t="shared" si="1"/>
        <v>-3.3653037186606094E-3</v>
      </c>
      <c r="B31">
        <v>297.14999999999998</v>
      </c>
      <c r="C31">
        <f t="shared" si="2"/>
        <v>2985.6865603885949</v>
      </c>
      <c r="D31">
        <f t="shared" si="3"/>
        <v>2.2085222751045106</v>
      </c>
      <c r="E31">
        <f t="shared" si="0"/>
        <v>25.296246488666448</v>
      </c>
      <c r="F31">
        <f t="shared" si="0"/>
        <v>74.973935772698837</v>
      </c>
      <c r="G31">
        <f t="shared" si="0"/>
        <v>139.17489894197487</v>
      </c>
      <c r="H31">
        <f t="shared" si="0"/>
        <v>309.53879105784171</v>
      </c>
      <c r="I31">
        <f t="shared" si="0"/>
        <v>462.06281777931218</v>
      </c>
      <c r="J31">
        <f t="shared" si="0"/>
        <v>593.45031959300945</v>
      </c>
      <c r="K31">
        <f t="shared" si="0"/>
        <v>709.31692349810476</v>
      </c>
      <c r="L31">
        <f t="shared" si="0"/>
        <v>815.39533447793542</v>
      </c>
      <c r="M31">
        <f t="shared" si="0"/>
        <v>916.56003268195252</v>
      </c>
      <c r="N31">
        <f t="shared" si="0"/>
        <v>1121.6585735279016</v>
      </c>
      <c r="O31">
        <f t="shared" si="0"/>
        <v>1365.0017196167912</v>
      </c>
    </row>
    <row r="32" spans="1:15" x14ac:dyDescent="0.25">
      <c r="A32">
        <f t="shared" si="1"/>
        <v>-3.3540164346805303E-3</v>
      </c>
      <c r="B32">
        <v>298.14999999999998</v>
      </c>
      <c r="C32">
        <f t="shared" si="2"/>
        <v>3169.8244863139726</v>
      </c>
      <c r="D32">
        <f t="shared" si="3"/>
        <v>2.4069104063740507</v>
      </c>
      <c r="E32">
        <f t="shared" si="0"/>
        <v>27.320478682950583</v>
      </c>
      <c r="F32">
        <f t="shared" si="0"/>
        <v>80.651425156978007</v>
      </c>
      <c r="G32">
        <f t="shared" si="0"/>
        <v>149.37688836905747</v>
      </c>
      <c r="H32">
        <f t="shared" si="0"/>
        <v>331.26913024119574</v>
      </c>
      <c r="I32">
        <f t="shared" si="0"/>
        <v>493.79125895789707</v>
      </c>
      <c r="J32">
        <f t="shared" si="0"/>
        <v>633.6384773580038</v>
      </c>
      <c r="K32">
        <f t="shared" si="0"/>
        <v>756.87925779770387</v>
      </c>
      <c r="L32">
        <f t="shared" si="0"/>
        <v>869.65347802929716</v>
      </c>
      <c r="M32">
        <f t="shared" si="0"/>
        <v>977.16436759302007</v>
      </c>
      <c r="N32">
        <f t="shared" si="0"/>
        <v>1195.041429867262</v>
      </c>
      <c r="O32">
        <f t="shared" si="0"/>
        <v>1453.4487076731907</v>
      </c>
    </row>
    <row r="33" spans="1:15" x14ac:dyDescent="0.25">
      <c r="A33">
        <f t="shared" si="1"/>
        <v>-3.3428046130703662E-3</v>
      </c>
      <c r="B33">
        <v>299.14999999999998</v>
      </c>
      <c r="C33">
        <f t="shared" si="2"/>
        <v>3363.7914878985089</v>
      </c>
      <c r="D33">
        <f t="shared" si="3"/>
        <v>2.6216668451179155</v>
      </c>
      <c r="E33">
        <f t="shared" si="3"/>
        <v>29.491180390415305</v>
      </c>
      <c r="F33">
        <f t="shared" si="3"/>
        <v>86.714439160926517</v>
      </c>
      <c r="G33">
        <f t="shared" si="3"/>
        <v>160.24597985491241</v>
      </c>
      <c r="H33">
        <f t="shared" si="3"/>
        <v>354.35047589946794</v>
      </c>
      <c r="I33">
        <f t="shared" si="3"/>
        <v>527.4418734628224</v>
      </c>
      <c r="J33">
        <f t="shared" si="3"/>
        <v>676.22207780481597</v>
      </c>
      <c r="K33">
        <f t="shared" si="3"/>
        <v>807.2441608580051</v>
      </c>
      <c r="L33">
        <f t="shared" si="3"/>
        <v>927.08057295855872</v>
      </c>
      <c r="M33">
        <f t="shared" si="3"/>
        <v>1041.282744229947</v>
      </c>
      <c r="N33">
        <f t="shared" si="3"/>
        <v>1272.6291880640167</v>
      </c>
      <c r="O33">
        <f t="shared" si="3"/>
        <v>1546.9125634681757</v>
      </c>
    </row>
    <row r="34" spans="1:15" x14ac:dyDescent="0.25">
      <c r="A34">
        <f t="shared" si="1"/>
        <v>-3.331667499583542E-3</v>
      </c>
      <c r="B34">
        <v>300.14999999999998</v>
      </c>
      <c r="C34">
        <f t="shared" si="2"/>
        <v>3568.0246259588257</v>
      </c>
      <c r="D34">
        <f t="shared" ref="D34:O49" si="4">ws_direct_ads_p_wT(D$14/100,$B34,$D$3,$D$4,$D$5,$D$7,$D$8,$D$9,$D$10,$D$11,$D$12)</f>
        <v>2.8540160015838687</v>
      </c>
      <c r="E34">
        <f t="shared" si="4"/>
        <v>31.817765462457832</v>
      </c>
      <c r="F34">
        <f t="shared" si="4"/>
        <v>93.185966671166852</v>
      </c>
      <c r="G34">
        <f t="shared" si="4"/>
        <v>171.8202008623835</v>
      </c>
      <c r="H34">
        <f t="shared" si="4"/>
        <v>378.85529519558042</v>
      </c>
      <c r="I34">
        <f t="shared" si="4"/>
        <v>563.11457421925275</v>
      </c>
      <c r="J34">
        <f t="shared" si="4"/>
        <v>721.32319955839898</v>
      </c>
      <c r="K34">
        <f t="shared" si="4"/>
        <v>860.55248289288681</v>
      </c>
      <c r="L34">
        <f t="shared" si="4"/>
        <v>987.83419503896732</v>
      </c>
      <c r="M34">
        <f t="shared" si="4"/>
        <v>1109.088394620198</v>
      </c>
      <c r="N34">
        <f t="shared" si="4"/>
        <v>1354.6263025258556</v>
      </c>
      <c r="O34">
        <f t="shared" si="4"/>
        <v>1645.6345398342592</v>
      </c>
    </row>
    <row r="35" spans="1:15" x14ac:dyDescent="0.25">
      <c r="A35">
        <f t="shared" si="1"/>
        <v>-3.3206043499916988E-3</v>
      </c>
      <c r="B35">
        <v>301.14999999999998</v>
      </c>
      <c r="C35">
        <f t="shared" si="2"/>
        <v>3782.9760553349306</v>
      </c>
      <c r="D35">
        <f t="shared" si="4"/>
        <v>3.1052639222810234</v>
      </c>
      <c r="E35">
        <f t="shared" si="4"/>
        <v>34.310171656719646</v>
      </c>
      <c r="F35">
        <f t="shared" si="4"/>
        <v>100.09016333285366</v>
      </c>
      <c r="G35">
        <f t="shared" si="4"/>
        <v>184.13940290239975</v>
      </c>
      <c r="H35">
        <f t="shared" si="4"/>
        <v>404.85927146952264</v>
      </c>
      <c r="I35">
        <f t="shared" si="4"/>
        <v>600.91353127828688</v>
      </c>
      <c r="J35">
        <f t="shared" si="4"/>
        <v>769.06899060247281</v>
      </c>
      <c r="K35">
        <f t="shared" si="4"/>
        <v>916.95081766065073</v>
      </c>
      <c r="L35">
        <f t="shared" si="4"/>
        <v>1052.0782574222244</v>
      </c>
      <c r="M35">
        <f t="shared" si="4"/>
        <v>1180.7614409824955</v>
      </c>
      <c r="N35">
        <f t="shared" si="4"/>
        <v>1441.2452214408443</v>
      </c>
      <c r="O35">
        <f t="shared" si="4"/>
        <v>1749.8652052849448</v>
      </c>
    </row>
    <row r="36" spans="1:15" x14ac:dyDescent="0.25">
      <c r="A36">
        <f t="shared" si="1"/>
        <v>-3.3096144299189145E-3</v>
      </c>
      <c r="B36">
        <v>302.14999999999998</v>
      </c>
      <c r="C36">
        <f t="shared" si="2"/>
        <v>4009.1133662106045</v>
      </c>
      <c r="D36">
        <f t="shared" si="4"/>
        <v>3.3768030246209966</v>
      </c>
      <c r="E36">
        <f t="shared" si="4"/>
        <v>36.978884877995078</v>
      </c>
      <c r="F36">
        <f t="shared" si="4"/>
        <v>107.45239933895218</v>
      </c>
      <c r="G36">
        <f t="shared" si="4"/>
        <v>197.24533066730916</v>
      </c>
      <c r="H36">
        <f t="shared" si="4"/>
        <v>432.44141332623889</v>
      </c>
      <c r="I36">
        <f t="shared" si="4"/>
        <v>640.94730774766833</v>
      </c>
      <c r="J36">
        <f t="shared" si="4"/>
        <v>819.59182397477014</v>
      </c>
      <c r="K36">
        <f t="shared" si="4"/>
        <v>976.59167405666608</v>
      </c>
      <c r="L36">
        <f t="shared" si="4"/>
        <v>1119.9831960374934</v>
      </c>
      <c r="M36">
        <f t="shared" si="4"/>
        <v>1256.4890939639592</v>
      </c>
      <c r="N36">
        <f t="shared" si="4"/>
        <v>1532.7066111543584</v>
      </c>
      <c r="O36">
        <f t="shared" si="4"/>
        <v>1859.8647016529055</v>
      </c>
    </row>
    <row r="37" spans="1:15" x14ac:dyDescent="0.25">
      <c r="A37">
        <f t="shared" si="1"/>
        <v>-3.298697014679202E-3</v>
      </c>
      <c r="B37">
        <v>303.14999999999998</v>
      </c>
      <c r="C37">
        <f t="shared" si="2"/>
        <v>4246.9199271521238</v>
      </c>
      <c r="D37">
        <f t="shared" si="4"/>
        <v>3.6701170614155356</v>
      </c>
      <c r="E37">
        <f t="shared" si="4"/>
        <v>39.834964283274502</v>
      </c>
      <c r="F37">
        <f t="shared" si="4"/>
        <v>115.29930863166528</v>
      </c>
      <c r="G37">
        <f t="shared" si="4"/>
        <v>211.18169295619629</v>
      </c>
      <c r="H37">
        <f t="shared" si="4"/>
        <v>461.68416601626541</v>
      </c>
      <c r="I37">
        <f t="shared" si="4"/>
        <v>683.3289982342859</v>
      </c>
      <c r="J37">
        <f t="shared" si="4"/>
        <v>873.02945609282392</v>
      </c>
      <c r="K37">
        <f t="shared" si="4"/>
        <v>1039.6336504172432</v>
      </c>
      <c r="L37">
        <f t="shared" si="4"/>
        <v>1191.7261577701863</v>
      </c>
      <c r="M37">
        <f t="shared" si="4"/>
        <v>1336.4658537275436</v>
      </c>
      <c r="N37">
        <f t="shared" si="4"/>
        <v>1629.2395835890566</v>
      </c>
      <c r="O37">
        <f t="shared" si="4"/>
        <v>1975.9030051574907</v>
      </c>
    </row>
    <row r="38" spans="1:15" x14ac:dyDescent="0.25">
      <c r="A38">
        <f t="shared" si="1"/>
        <v>-3.287851389117212E-3</v>
      </c>
      <c r="B38">
        <v>304.14999999999998</v>
      </c>
      <c r="C38">
        <f t="shared" si="2"/>
        <v>4496.8952297088599</v>
      </c>
      <c r="D38">
        <f t="shared" si="4"/>
        <v>3.9867863239399139</v>
      </c>
      <c r="E38">
        <f t="shared" si="4"/>
        <v>42.890068270456197</v>
      </c>
      <c r="F38">
        <f t="shared" si="4"/>
        <v>123.65883953641435</v>
      </c>
      <c r="G38">
        <f t="shared" si="4"/>
        <v>225.99423540834076</v>
      </c>
      <c r="H38">
        <f t="shared" si="4"/>
        <v>492.67352511012609</v>
      </c>
      <c r="I38">
        <f t="shared" si="4"/>
        <v>728.17636978620124</v>
      </c>
      <c r="J38">
        <f t="shared" si="4"/>
        <v>929.52518768750929</v>
      </c>
      <c r="K38">
        <f t="shared" si="4"/>
        <v>1106.2416115034764</v>
      </c>
      <c r="L38">
        <f t="shared" si="4"/>
        <v>1267.4911913822875</v>
      </c>
      <c r="M38">
        <f t="shared" si="4"/>
        <v>1420.8937138456392</v>
      </c>
      <c r="N38">
        <f t="shared" si="4"/>
        <v>1731.0819266545604</v>
      </c>
      <c r="O38">
        <f t="shared" si="4"/>
        <v>2098.2601908437878</v>
      </c>
    </row>
    <row r="39" spans="1:15" x14ac:dyDescent="0.25">
      <c r="A39">
        <f t="shared" si="1"/>
        <v>-3.2770768474520728E-3</v>
      </c>
      <c r="B39">
        <v>305.14999999999998</v>
      </c>
      <c r="C39">
        <f t="shared" si="2"/>
        <v>4759.555234418126</v>
      </c>
      <c r="D39">
        <f t="shared" si="4"/>
        <v>4.3284930924919456</v>
      </c>
      <c r="E39">
        <f t="shared" si="4"/>
        <v>46.156481370323057</v>
      </c>
      <c r="F39">
        <f t="shared" si="4"/>
        <v>132.56030684843049</v>
      </c>
      <c r="G39">
        <f t="shared" si="4"/>
        <v>241.73081506024451</v>
      </c>
      <c r="H39">
        <f t="shared" si="4"/>
        <v>525.49915246621947</v>
      </c>
      <c r="I39">
        <f t="shared" si="4"/>
        <v>775.61200532031853</v>
      </c>
      <c r="J39">
        <f t="shared" si="4"/>
        <v>989.22802731976685</v>
      </c>
      <c r="K39">
        <f t="shared" si="4"/>
        <v>1176.5868681319625</v>
      </c>
      <c r="L39">
        <f t="shared" si="4"/>
        <v>1347.469441134084</v>
      </c>
      <c r="M39">
        <f t="shared" si="4"/>
        <v>1509.9823679537728</v>
      </c>
      <c r="N39">
        <f t="shared" si="4"/>
        <v>1838.4803375915874</v>
      </c>
      <c r="O39">
        <f t="shared" si="4"/>
        <v>2227.2267003336451</v>
      </c>
    </row>
    <row r="40" spans="1:15" x14ac:dyDescent="0.25">
      <c r="A40">
        <f t="shared" si="1"/>
        <v>-3.2663726931242859E-3</v>
      </c>
      <c r="B40">
        <v>306.14999999999998</v>
      </c>
      <c r="C40">
        <f t="shared" si="2"/>
        <v>5035.432718054376</v>
      </c>
      <c r="D40">
        <f t="shared" si="4"/>
        <v>4.6970273435918122</v>
      </c>
      <c r="E40">
        <f t="shared" si="4"/>
        <v>49.647142061397673</v>
      </c>
      <c r="F40">
        <f t="shared" si="4"/>
        <v>142.03444539159761</v>
      </c>
      <c r="G40">
        <f t="shared" si="4"/>
        <v>258.44147674086008</v>
      </c>
      <c r="H40">
        <f t="shared" si="4"/>
        <v>560.2544944904356</v>
      </c>
      <c r="I40">
        <f t="shared" si="4"/>
        <v>825.76344952003376</v>
      </c>
      <c r="J40">
        <f t="shared" si="4"/>
        <v>1052.2928574539546</v>
      </c>
      <c r="K40">
        <f t="shared" si="4"/>
        <v>1250.8473594171346</v>
      </c>
      <c r="L40">
        <f t="shared" si="4"/>
        <v>1431.8593430649003</v>
      </c>
      <c r="M40">
        <f t="shared" si="4"/>
        <v>1603.9494191159922</v>
      </c>
      <c r="N40">
        <f t="shared" si="4"/>
        <v>1951.6906591928109</v>
      </c>
      <c r="O40">
        <f t="shared" si="4"/>
        <v>2363.1036128266451</v>
      </c>
    </row>
    <row r="41" spans="1:15" x14ac:dyDescent="0.25">
      <c r="A41">
        <f t="shared" si="1"/>
        <v>-3.255738238645613E-3</v>
      </c>
      <c r="B41">
        <v>307.14999999999998</v>
      </c>
      <c r="C41">
        <f t="shared" si="2"/>
        <v>5325.0776219626423</v>
      </c>
      <c r="D41">
        <f t="shared" si="4"/>
        <v>5.0942927231925301</v>
      </c>
      <c r="E41">
        <f t="shared" si="4"/>
        <v>53.375671527337758</v>
      </c>
      <c r="F41">
        <f t="shared" si="4"/>
        <v>152.11346506883436</v>
      </c>
      <c r="G41">
        <f t="shared" si="4"/>
        <v>276.17853131893133</v>
      </c>
      <c r="H41">
        <f t="shared" si="4"/>
        <v>597.03690268454761</v>
      </c>
      <c r="I41">
        <f t="shared" si="4"/>
        <v>878.76335718570965</v>
      </c>
      <c r="J41">
        <f t="shared" si="4"/>
        <v>1118.8806030596731</v>
      </c>
      <c r="K41">
        <f t="shared" si="4"/>
        <v>1329.2078375883366</v>
      </c>
      <c r="L41">
        <f t="shared" si="4"/>
        <v>1520.8668238888079</v>
      </c>
      <c r="M41">
        <f t="shared" si="4"/>
        <v>1703.0205918519027</v>
      </c>
      <c r="N41">
        <f t="shared" si="4"/>
        <v>2070.9781188411944</v>
      </c>
      <c r="O41">
        <f t="shared" si="4"/>
        <v>2506.2029192876494</v>
      </c>
    </row>
    <row r="42" spans="1:15" x14ac:dyDescent="0.25">
      <c r="A42">
        <f t="shared" si="1"/>
        <v>-3.2451728054518907E-3</v>
      </c>
      <c r="B42">
        <v>308.14999999999998</v>
      </c>
      <c r="C42">
        <f t="shared" si="2"/>
        <v>5629.0574013142132</v>
      </c>
      <c r="D42">
        <f t="shared" si="4"/>
        <v>5.5223127954894</v>
      </c>
      <c r="E42">
        <f t="shared" si="4"/>
        <v>57.356403376530139</v>
      </c>
      <c r="F42">
        <f t="shared" si="4"/>
        <v>162.83110742284794</v>
      </c>
      <c r="G42">
        <f t="shared" si="4"/>
        <v>294.99663581552647</v>
      </c>
      <c r="H42">
        <f t="shared" si="4"/>
        <v>635.94775647894517</v>
      </c>
      <c r="I42">
        <f t="shared" si="4"/>
        <v>934.74964401907846</v>
      </c>
      <c r="J42">
        <f t="shared" si="4"/>
        <v>1189.1584027119829</v>
      </c>
      <c r="K42">
        <f t="shared" si="4"/>
        <v>1411.8600553427013</v>
      </c>
      <c r="L42">
        <f t="shared" si="4"/>
        <v>1614.7055024591364</v>
      </c>
      <c r="M42">
        <f t="shared" si="4"/>
        <v>1807.429946773118</v>
      </c>
      <c r="N42">
        <f t="shared" si="4"/>
        <v>2196.6175703042295</v>
      </c>
      <c r="O42">
        <f t="shared" si="4"/>
        <v>2656.847799755325</v>
      </c>
    </row>
    <row r="43" spans="1:15" x14ac:dyDescent="0.25">
      <c r="A43">
        <f t="shared" si="1"/>
        <v>-3.2346757237586934E-3</v>
      </c>
      <c r="B43">
        <v>309.14999999999998</v>
      </c>
      <c r="C43">
        <f t="shared" si="2"/>
        <v>5947.9573751218859</v>
      </c>
      <c r="D43">
        <f t="shared" si="4"/>
        <v>5.9832375771412076</v>
      </c>
      <c r="E43">
        <f t="shared" si="4"/>
        <v>61.604414343554282</v>
      </c>
      <c r="F43">
        <f t="shared" si="4"/>
        <v>174.2227037256869</v>
      </c>
      <c r="G43">
        <f t="shared" si="4"/>
        <v>314.95287539406939</v>
      </c>
      <c r="H43">
        <f t="shared" si="4"/>
        <v>677.09258834395814</v>
      </c>
      <c r="I43">
        <f t="shared" si="4"/>
        <v>993.86563982109624</v>
      </c>
      <c r="J43">
        <f t="shared" si="4"/>
        <v>1263.2997821582317</v>
      </c>
      <c r="K43">
        <f t="shared" si="4"/>
        <v>1499.0029556931386</v>
      </c>
      <c r="L43">
        <f t="shared" si="4"/>
        <v>1713.5968937538189</v>
      </c>
      <c r="M43">
        <f t="shared" si="4"/>
        <v>1917.4200977750734</v>
      </c>
      <c r="N43">
        <f t="shared" si="4"/>
        <v>2328.8937382207937</v>
      </c>
      <c r="O43">
        <f t="shared" si="4"/>
        <v>2815.3729037044905</v>
      </c>
    </row>
    <row r="44" spans="1:15" x14ac:dyDescent="0.25">
      <c r="A44">
        <f t="shared" si="1"/>
        <v>-3.224246332419797E-3</v>
      </c>
      <c r="B44">
        <v>310.14999999999998</v>
      </c>
      <c r="C44">
        <f t="shared" si="2"/>
        <v>6282.3810768517806</v>
      </c>
      <c r="D44">
        <f t="shared" si="4"/>
        <v>6.4793503669399284</v>
      </c>
      <c r="E44">
        <f t="shared" si="4"/>
        <v>66.135555992181708</v>
      </c>
      <c r="F44">
        <f t="shared" si="4"/>
        <v>186.32523461508387</v>
      </c>
      <c r="G44">
        <f t="shared" si="4"/>
        <v>336.10684723936583</v>
      </c>
      <c r="H44">
        <f t="shared" si="4"/>
        <v>720.58121117273993</v>
      </c>
      <c r="I44">
        <f t="shared" si="4"/>
        <v>1056.2602440812518</v>
      </c>
      <c r="J44">
        <f t="shared" si="4"/>
        <v>1341.4848303180986</v>
      </c>
      <c r="K44">
        <f t="shared" si="4"/>
        <v>1590.8428642690808</v>
      </c>
      <c r="L44">
        <f t="shared" si="4"/>
        <v>1817.770615331935</v>
      </c>
      <c r="M44">
        <f t="shared" si="4"/>
        <v>2033.2424317285054</v>
      </c>
      <c r="N44">
        <f t="shared" si="4"/>
        <v>2468.1014652156755</v>
      </c>
      <c r="O44">
        <f t="shared" si="4"/>
        <v>2982.1246333936774</v>
      </c>
    </row>
    <row r="45" spans="1:15" x14ac:dyDescent="0.25">
      <c r="A45">
        <f t="shared" si="1"/>
        <v>-3.2138839787883662E-3</v>
      </c>
      <c r="B45">
        <v>311.14999999999998</v>
      </c>
      <c r="C45">
        <f t="shared" si="2"/>
        <v>6632.9506054678623</v>
      </c>
      <c r="D45">
        <f t="shared" si="4"/>
        <v>7.0130748811887935</v>
      </c>
      <c r="E45">
        <f t="shared" si="4"/>
        <v>70.966487439552552</v>
      </c>
      <c r="F45">
        <f t="shared" si="4"/>
        <v>199.17739129510417</v>
      </c>
      <c r="G45">
        <f t="shared" si="4"/>
        <v>358.52074633631457</v>
      </c>
      <c r="H45">
        <f t="shared" si="4"/>
        <v>766.52784792726857</v>
      </c>
      <c r="I45">
        <f t="shared" si="4"/>
        <v>1122.0880839347208</v>
      </c>
      <c r="J45">
        <f t="shared" si="4"/>
        <v>1423.9003776817131</v>
      </c>
      <c r="K45">
        <f t="shared" si="4"/>
        <v>1687.5936840258228</v>
      </c>
      <c r="L45">
        <f t="shared" si="4"/>
        <v>1927.4645962099678</v>
      </c>
      <c r="M45">
        <f t="shared" si="4"/>
        <v>2155.1573306130053</v>
      </c>
      <c r="N45">
        <f t="shared" si="4"/>
        <v>2614.5459615750069</v>
      </c>
      <c r="O45">
        <f t="shared" si="4"/>
        <v>3157.461430127636</v>
      </c>
    </row>
    <row r="46" spans="1:15" x14ac:dyDescent="0.25">
      <c r="A46">
        <f t="shared" si="1"/>
        <v>-3.2035880185808108E-3</v>
      </c>
      <c r="B46">
        <v>312.14999999999998</v>
      </c>
      <c r="C46">
        <f t="shared" si="2"/>
        <v>7000.3069767449479</v>
      </c>
      <c r="D46">
        <f t="shared" si="4"/>
        <v>7.5869827052753687</v>
      </c>
      <c r="E46">
        <f t="shared" si="4"/>
        <v>76.11470912114558</v>
      </c>
      <c r="F46">
        <f t="shared" si="4"/>
        <v>212.81963831816003</v>
      </c>
      <c r="G46">
        <f t="shared" si="4"/>
        <v>382.25945315813152</v>
      </c>
      <c r="H46">
        <f t="shared" si="4"/>
        <v>815.0512635377421</v>
      </c>
      <c r="I46">
        <f t="shared" si="4"/>
        <v>1191.5096744622228</v>
      </c>
      <c r="J46">
        <f t="shared" si="4"/>
        <v>1510.7401770690965</v>
      </c>
      <c r="K46">
        <f t="shared" si="4"/>
        <v>1789.4770923166313</v>
      </c>
      <c r="L46">
        <f t="shared" si="4"/>
        <v>2042.925288104622</v>
      </c>
      <c r="M46">
        <f t="shared" si="4"/>
        <v>2283.4343960334227</v>
      </c>
      <c r="N46">
        <f t="shared" si="4"/>
        <v>2768.543057414231</v>
      </c>
      <c r="O46">
        <f t="shared" si="4"/>
        <v>3341.7540633631347</v>
      </c>
    </row>
    <row r="47" spans="1:15" x14ac:dyDescent="0.25">
      <c r="A47">
        <f t="shared" si="1"/>
        <v>-3.1933578157432542E-3</v>
      </c>
      <c r="B47">
        <v>313.14999999999998</v>
      </c>
      <c r="C47">
        <f t="shared" si="2"/>
        <v>7385.110474686081</v>
      </c>
      <c r="D47">
        <f t="shared" si="4"/>
        <v>8.2038010721512151</v>
      </c>
      <c r="E47">
        <f t="shared" si="4"/>
        <v>81.59859761611645</v>
      </c>
      <c r="F47">
        <f t="shared" si="4"/>
        <v>227.29427796497197</v>
      </c>
      <c r="G47">
        <f t="shared" si="4"/>
        <v>407.39062327314912</v>
      </c>
      <c r="H47">
        <f t="shared" si="4"/>
        <v>866.27489904433696</v>
      </c>
      <c r="I47">
        <f t="shared" si="4"/>
        <v>1264.69158130599</v>
      </c>
      <c r="J47">
        <f t="shared" si="4"/>
        <v>1602.2050867126459</v>
      </c>
      <c r="K47">
        <f t="shared" si="4"/>
        <v>1896.7227402802835</v>
      </c>
      <c r="L47">
        <f t="shared" si="4"/>
        <v>2164.4078789875221</v>
      </c>
      <c r="M47">
        <f t="shared" si="4"/>
        <v>2418.3526760583677</v>
      </c>
      <c r="N47">
        <f t="shared" si="4"/>
        <v>2930.4194572688166</v>
      </c>
      <c r="O47">
        <f t="shared" si="4"/>
        <v>3535.3859225852439</v>
      </c>
    </row>
    <row r="48" spans="1:15" x14ac:dyDescent="0.25">
      <c r="A48">
        <f t="shared" si="1"/>
        <v>-3.1831927423205475E-3</v>
      </c>
      <c r="B48">
        <v>314.14999999999998</v>
      </c>
      <c r="C48">
        <f t="shared" si="2"/>
        <v>7788.0410028799579</v>
      </c>
      <c r="D48">
        <f t="shared" si="4"/>
        <v>8.8664209786576205</v>
      </c>
      <c r="E48">
        <f t="shared" si="4"/>
        <v>87.437441552527545</v>
      </c>
      <c r="F48">
        <f t="shared" si="4"/>
        <v>242.64551623855166</v>
      </c>
      <c r="G48">
        <f t="shared" si="4"/>
        <v>433.98477887833428</v>
      </c>
      <c r="H48">
        <f t="shared" si="4"/>
        <v>920.32700796896904</v>
      </c>
      <c r="I48">
        <f t="shared" si="4"/>
        <v>1341.8065855737129</v>
      </c>
      <c r="J48">
        <f t="shared" si="4"/>
        <v>1698.5032556227809</v>
      </c>
      <c r="K48">
        <f t="shared" si="4"/>
        <v>2009.5684544950232</v>
      </c>
      <c r="L48">
        <f t="shared" si="4"/>
        <v>2292.1765088954598</v>
      </c>
      <c r="M48">
        <f t="shared" si="4"/>
        <v>2560.2008943184342</v>
      </c>
      <c r="N48">
        <f t="shared" si="4"/>
        <v>3100.5129970363728</v>
      </c>
      <c r="O48">
        <f t="shared" si="4"/>
        <v>3738.7533118799406</v>
      </c>
    </row>
    <row r="49" spans="1:15" x14ac:dyDescent="0.25">
      <c r="A49">
        <f t="shared" si="1"/>
        <v>-3.1730921783277807E-3</v>
      </c>
      <c r="B49">
        <v>315.14999999999998</v>
      </c>
      <c r="C49">
        <f t="shared" si="2"/>
        <v>8209.7984356344841</v>
      </c>
      <c r="D49">
        <f t="shared" si="4"/>
        <v>9.5779056508609628</v>
      </c>
      <c r="E49">
        <f t="shared" si="4"/>
        <v>93.651478611939694</v>
      </c>
      <c r="F49">
        <f t="shared" si="4"/>
        <v>258.919530487798</v>
      </c>
      <c r="G49">
        <f t="shared" si="4"/>
        <v>462.11540226690204</v>
      </c>
      <c r="H49">
        <f t="shared" si="4"/>
        <v>977.34079490347085</v>
      </c>
      <c r="I49">
        <f t="shared" si="4"/>
        <v>1423.0338510009874</v>
      </c>
      <c r="J49">
        <f t="shared" si="4"/>
        <v>1799.8503111954581</v>
      </c>
      <c r="K49">
        <f t="shared" si="4"/>
        <v>2128.2604408485463</v>
      </c>
      <c r="L49">
        <f t="shared" si="4"/>
        <v>2426.5044879385</v>
      </c>
      <c r="M49">
        <f t="shared" si="4"/>
        <v>2709.2776813004421</v>
      </c>
      <c r="N49">
        <f t="shared" si="4"/>
        <v>3279.1729031976329</v>
      </c>
      <c r="O49">
        <f t="shared" si="4"/>
        <v>3952.2657471280108</v>
      </c>
    </row>
    <row r="50" spans="1:15" x14ac:dyDescent="0.25">
      <c r="A50">
        <f t="shared" si="1"/>
        <v>-3.1630555116242292E-3</v>
      </c>
      <c r="B50">
        <v>316.14999999999998</v>
      </c>
      <c r="C50">
        <f t="shared" si="2"/>
        <v>8651.1029687229584</v>
      </c>
      <c r="D50">
        <f t="shared" ref="D50:O65" si="5">ws_direct_ads_p_wT(D$14/100,$B50,$D$3,$D$4,$D$5,$D$7,$D$8,$D$9,$D$10,$D$11,$D$12)</f>
        <v>10.34149936979234</v>
      </c>
      <c r="E50">
        <f t="shared" si="5"/>
        <v>100.26193365274747</v>
      </c>
      <c r="F50">
        <f t="shared" si="5"/>
        <v>276.16453867577172</v>
      </c>
      <c r="G50">
        <f t="shared" si="5"/>
        <v>491.85903123651417</v>
      </c>
      <c r="H50">
        <f t="shared" si="5"/>
        <v>1037.4545562993014</v>
      </c>
      <c r="I50">
        <f t="shared" si="5"/>
        <v>1508.5590933413125</v>
      </c>
      <c r="J50">
        <f t="shared" si="5"/>
        <v>1906.4695490187894</v>
      </c>
      <c r="K50">
        <f t="shared" si="5"/>
        <v>2253.0534905721502</v>
      </c>
      <c r="L50">
        <f t="shared" si="5"/>
        <v>2567.6745164467834</v>
      </c>
      <c r="M50">
        <f t="shared" si="5"/>
        <v>2865.891807772553</v>
      </c>
      <c r="N50">
        <f t="shared" si="5"/>
        <v>3466.760054242432</v>
      </c>
      <c r="O50">
        <f t="shared" si="5"/>
        <v>4176.3462557441717</v>
      </c>
    </row>
    <row r="51" spans="1:15" x14ac:dyDescent="0.25">
      <c r="A51">
        <f t="shared" si="1"/>
        <v>-3.1530821377896896E-3</v>
      </c>
      <c r="B51">
        <v>317.14999999999998</v>
      </c>
      <c r="C51">
        <f t="shared" si="2"/>
        <v>9112.6954695795321</v>
      </c>
      <c r="D51">
        <f t="shared" si="5"/>
        <v>11.160636669211017</v>
      </c>
      <c r="E51">
        <f t="shared" si="5"/>
        <v>107.29105797157654</v>
      </c>
      <c r="F51">
        <f t="shared" si="5"/>
        <v>294.43087030718681</v>
      </c>
      <c r="G51">
        <f t="shared" si="5"/>
        <v>523.29535644370651</v>
      </c>
      <c r="H51">
        <f t="shared" si="5"/>
        <v>1100.8118234426454</v>
      </c>
      <c r="I51">
        <f t="shared" si="5"/>
        <v>1598.5747519513313</v>
      </c>
      <c r="J51">
        <f t="shared" si="5"/>
        <v>2018.5921248345592</v>
      </c>
      <c r="K51">
        <f t="shared" si="5"/>
        <v>2384.2111883857315</v>
      </c>
      <c r="L51">
        <f t="shared" si="5"/>
        <v>2715.9789071954592</v>
      </c>
      <c r="M51">
        <f t="shared" si="5"/>
        <v>3030.3624202737724</v>
      </c>
      <c r="N51">
        <f t="shared" si="5"/>
        <v>3663.6472442256063</v>
      </c>
      <c r="O51">
        <f t="shared" si="5"/>
        <v>4411.4316788844098</v>
      </c>
    </row>
    <row r="52" spans="1:15" x14ac:dyDescent="0.25">
      <c r="A52">
        <f t="shared" si="1"/>
        <v>-3.1431714600031434E-3</v>
      </c>
      <c r="B52">
        <v>318.14999999999998</v>
      </c>
      <c r="C52">
        <f t="shared" si="2"/>
        <v>9595.3378267816952</v>
      </c>
      <c r="D52">
        <f t="shared" si="5"/>
        <v>12.038951917237828</v>
      </c>
      <c r="E52">
        <f t="shared" si="5"/>
        <v>114.76216972195078</v>
      </c>
      <c r="F52">
        <f t="shared" si="5"/>
        <v>313.77103902912552</v>
      </c>
      <c r="G52">
        <f t="shared" si="5"/>
        <v>556.50732070933498</v>
      </c>
      <c r="H52">
        <f t="shared" si="5"/>
        <v>1167.561507597535</v>
      </c>
      <c r="I52">
        <f t="shared" si="5"/>
        <v>1693.2801635376666</v>
      </c>
      <c r="J52">
        <f t="shared" si="5"/>
        <v>2136.4572486091333</v>
      </c>
      <c r="K52">
        <f t="shared" si="5"/>
        <v>2522.0061226990542</v>
      </c>
      <c r="L52">
        <f t="shared" si="5"/>
        <v>2871.7198096459674</v>
      </c>
      <c r="M52">
        <f t="shared" si="5"/>
        <v>3203.0192786001567</v>
      </c>
      <c r="N52">
        <f t="shared" si="5"/>
        <v>3870.2194483766898</v>
      </c>
      <c r="O52">
        <f t="shared" si="5"/>
        <v>4657.9729760438368</v>
      </c>
    </row>
    <row r="53" spans="1:15" x14ac:dyDescent="0.25">
      <c r="A53">
        <f t="shared" si="1"/>
        <v>-3.1333228889237038E-3</v>
      </c>
      <c r="B53">
        <v>319.14999999999998</v>
      </c>
      <c r="C53">
        <f t="shared" si="2"/>
        <v>10099.813298658821</v>
      </c>
      <c r="D53">
        <f t="shared" si="5"/>
        <v>12.980289293937341</v>
      </c>
      <c r="E53">
        <f t="shared" si="5"/>
        <v>122.69969550936425</v>
      </c>
      <c r="F53">
        <f t="shared" si="5"/>
        <v>334.23981691847843</v>
      </c>
      <c r="G53">
        <f t="shared" si="5"/>
        <v>591.5812202790263</v>
      </c>
      <c r="H53">
        <f t="shared" si="5"/>
        <v>1237.8580472985423</v>
      </c>
      <c r="I53">
        <f t="shared" si="5"/>
        <v>1792.8817380305575</v>
      </c>
      <c r="J53">
        <f t="shared" si="5"/>
        <v>2260.312380667096</v>
      </c>
      <c r="K53">
        <f t="shared" si="5"/>
        <v>2666.7200978136543</v>
      </c>
      <c r="L53">
        <f t="shared" si="5"/>
        <v>3035.2094361408645</v>
      </c>
      <c r="M53">
        <f t="shared" si="5"/>
        <v>3384.2029952191442</v>
      </c>
      <c r="N53">
        <f t="shared" si="5"/>
        <v>4086.8740906866301</v>
      </c>
      <c r="O53">
        <f t="shared" si="5"/>
        <v>4916.4355319671686</v>
      </c>
    </row>
    <row r="54" spans="1:15" x14ac:dyDescent="0.25">
      <c r="A54">
        <f t="shared" si="1"/>
        <v>-3.1235358425737939E-3</v>
      </c>
      <c r="B54">
        <v>320.14999999999998</v>
      </c>
      <c r="C54">
        <f t="shared" si="2"/>
        <v>10626.926860865749</v>
      </c>
      <c r="D54">
        <f t="shared" si="5"/>
        <v>13.988713177148474</v>
      </c>
      <c r="E54">
        <f t="shared" si="5"/>
        <v>131.12921318173497</v>
      </c>
      <c r="F54">
        <f t="shared" si="5"/>
        <v>355.89431046899432</v>
      </c>
      <c r="G54">
        <f t="shared" si="5"/>
        <v>628.60680804169056</v>
      </c>
      <c r="H54">
        <f t="shared" si="5"/>
        <v>1311.8615577731834</v>
      </c>
      <c r="I54">
        <f t="shared" si="5"/>
        <v>1897.5931365479846</v>
      </c>
      <c r="J54">
        <f t="shared" si="5"/>
        <v>2390.4134298394383</v>
      </c>
      <c r="K54">
        <f t="shared" si="5"/>
        <v>2818.644348068116</v>
      </c>
      <c r="L54">
        <f t="shared" si="5"/>
        <v>3206.7702899878573</v>
      </c>
      <c r="M54">
        <f t="shared" si="5"/>
        <v>3574.2652765418866</v>
      </c>
      <c r="N54">
        <f t="shared" si="5"/>
        <v>4314.0213133932484</v>
      </c>
      <c r="O54">
        <f t="shared" si="5"/>
        <v>5187.2994657925956</v>
      </c>
    </row>
    <row r="55" spans="1:15" x14ac:dyDescent="0.25">
      <c r="A55">
        <f t="shared" si="1"/>
        <v>-3.1138097462245057E-3</v>
      </c>
      <c r="B55">
        <v>321.14999999999998</v>
      </c>
      <c r="C55">
        <f t="shared" si="2"/>
        <v>11177.505552762532</v>
      </c>
      <c r="D55">
        <f t="shared" si="5"/>
        <v>15.0685189490956</v>
      </c>
      <c r="E55">
        <f t="shared" si="5"/>
        <v>140.07749583414648</v>
      </c>
      <c r="F55">
        <f t="shared" si="5"/>
        <v>378.79403829033782</v>
      </c>
      <c r="G55">
        <f t="shared" si="5"/>
        <v>667.67739870836726</v>
      </c>
      <c r="H55">
        <f t="shared" si="5"/>
        <v>1389.7379824732193</v>
      </c>
      <c r="I55">
        <f t="shared" si="5"/>
        <v>2007.6354514129939</v>
      </c>
      <c r="J55">
        <f t="shared" si="5"/>
        <v>2527.0249535771618</v>
      </c>
      <c r="K55">
        <f t="shared" si="5"/>
        <v>2978.0797538687425</v>
      </c>
      <c r="L55">
        <f t="shared" si="5"/>
        <v>3386.7353953679922</v>
      </c>
      <c r="M55">
        <f t="shared" si="5"/>
        <v>3773.5691659828835</v>
      </c>
      <c r="N55">
        <f t="shared" si="5"/>
        <v>4552.0842482869366</v>
      </c>
      <c r="O55">
        <f t="shared" si="5"/>
        <v>5471.0599423501862</v>
      </c>
    </row>
    <row r="56" spans="1:15" x14ac:dyDescent="0.25">
      <c r="A56">
        <f t="shared" si="1"/>
        <v>-3.1041440322830982E-3</v>
      </c>
      <c r="B56">
        <v>322.14999999999998</v>
      </c>
      <c r="C56">
        <f t="shared" si="2"/>
        <v>11752.398822442739</v>
      </c>
      <c r="D56">
        <f t="shared" si="5"/>
        <v>16.224244236538365</v>
      </c>
      <c r="E56">
        <f t="shared" si="5"/>
        <v>149.57255704662575</v>
      </c>
      <c r="F56">
        <f t="shared" si="5"/>
        <v>403.00101053095551</v>
      </c>
      <c r="G56">
        <f t="shared" si="5"/>
        <v>708.88997595281376</v>
      </c>
      <c r="H56">
        <f t="shared" si="5"/>
        <v>1471.6592466928419</v>
      </c>
      <c r="I56">
        <f t="shared" si="5"/>
        <v>2123.2373881856975</v>
      </c>
      <c r="J56">
        <f t="shared" si="5"/>
        <v>2670.4203599800153</v>
      </c>
      <c r="K56">
        <f t="shared" si="5"/>
        <v>3145.337059546433</v>
      </c>
      <c r="L56">
        <f t="shared" si="5"/>
        <v>3575.4485290018911</v>
      </c>
      <c r="M56">
        <f t="shared" si="5"/>
        <v>3982.4892887352175</v>
      </c>
      <c r="N56">
        <f t="shared" si="5"/>
        <v>4801.4992897572047</v>
      </c>
      <c r="O56">
        <f t="shared" si="5"/>
        <v>5768.2274855354162</v>
      </c>
    </row>
    <row r="57" spans="1:15" x14ac:dyDescent="0.25">
      <c r="A57">
        <f t="shared" si="1"/>
        <v>-3.0945381401825778E-3</v>
      </c>
      <c r="B57">
        <v>323.14999999999998</v>
      </c>
      <c r="C57">
        <f t="shared" si="2"/>
        <v>12352.478870253733</v>
      </c>
      <c r="D57">
        <f t="shared" si="5"/>
        <v>17.460680597443435</v>
      </c>
      <c r="E57">
        <f t="shared" si="5"/>
        <v>159.64369737355602</v>
      </c>
      <c r="F57">
        <f t="shared" si="5"/>
        <v>428.57981003599167</v>
      </c>
      <c r="G57">
        <f t="shared" si="5"/>
        <v>752.34530151438776</v>
      </c>
      <c r="H57">
        <f t="shared" si="5"/>
        <v>1557.8034132505757</v>
      </c>
      <c r="I57">
        <f t="shared" si="5"/>
        <v>2244.6354496702374</v>
      </c>
      <c r="J57">
        <f t="shared" si="5"/>
        <v>2820.8821116888748</v>
      </c>
      <c r="K57">
        <f t="shared" si="5"/>
        <v>3320.7370929794897</v>
      </c>
      <c r="L57">
        <f t="shared" si="5"/>
        <v>3773.2644535068789</v>
      </c>
      <c r="M57">
        <f t="shared" si="5"/>
        <v>4201.4120981887418</v>
      </c>
      <c r="N57">
        <f t="shared" si="5"/>
        <v>5062.7163695000054</v>
      </c>
      <c r="O57">
        <f t="shared" si="5"/>
        <v>6079.3282936781325</v>
      </c>
    </row>
    <row r="58" spans="1:15" x14ac:dyDescent="0.25">
      <c r="A58">
        <f t="shared" si="1"/>
        <v>-3.0849915162733305E-3</v>
      </c>
      <c r="B58">
        <v>324.14999999999998</v>
      </c>
      <c r="C58">
        <f t="shared" si="2"/>
        <v>12978.640990654945</v>
      </c>
      <c r="D58">
        <f t="shared" si="5"/>
        <v>18.782885667391916</v>
      </c>
      <c r="E58">
        <f t="shared" si="5"/>
        <v>170.32155210321784</v>
      </c>
      <c r="F58">
        <f t="shared" si="5"/>
        <v>455.59767525095481</v>
      </c>
      <c r="G58">
        <f t="shared" si="5"/>
        <v>798.14802626299161</v>
      </c>
      <c r="H58">
        <f t="shared" si="5"/>
        <v>1648.3548402108113</v>
      </c>
      <c r="I58">
        <f t="shared" si="5"/>
        <v>2372.0741218561175</v>
      </c>
      <c r="J58">
        <f t="shared" si="5"/>
        <v>2978.7019315895486</v>
      </c>
      <c r="K58">
        <f t="shared" si="5"/>
        <v>3504.6109869214574</v>
      </c>
      <c r="L58">
        <f t="shared" si="5"/>
        <v>3980.5491523773239</v>
      </c>
      <c r="M58">
        <f t="shared" si="5"/>
        <v>4430.7361239181701</v>
      </c>
      <c r="N58">
        <f t="shared" si="5"/>
        <v>5336.1992328056031</v>
      </c>
      <c r="O58">
        <f t="shared" si="5"/>
        <v>6404.9045568277024</v>
      </c>
    </row>
    <row r="59" spans="1:15" x14ac:dyDescent="0.25">
      <c r="A59">
        <f t="shared" si="1"/>
        <v>-3.0755036137167465E-3</v>
      </c>
      <c r="B59">
        <v>325.14999999999998</v>
      </c>
      <c r="C59">
        <f t="shared" si="2"/>
        <v>13631.803912260628</v>
      </c>
      <c r="D59">
        <f t="shared" si="5"/>
        <v>20.19619577915595</v>
      </c>
      <c r="E59">
        <f t="shared" si="5"/>
        <v>181.63814030574571</v>
      </c>
      <c r="F59">
        <f t="shared" si="5"/>
        <v>484.12458488119881</v>
      </c>
      <c r="G59">
        <f t="shared" si="5"/>
        <v>846.40680322491221</v>
      </c>
      <c r="H59">
        <f t="shared" si="5"/>
        <v>1743.5043406195955</v>
      </c>
      <c r="I59">
        <f t="shared" si="5"/>
        <v>2505.8060617519541</v>
      </c>
      <c r="J59">
        <f t="shared" si="5"/>
        <v>3144.1810102744284</v>
      </c>
      <c r="K59">
        <f t="shared" si="5"/>
        <v>3697.3004019717623</v>
      </c>
      <c r="L59">
        <f t="shared" si="5"/>
        <v>4197.680066519275</v>
      </c>
      <c r="M59">
        <f t="shared" si="5"/>
        <v>4670.8722211668064</v>
      </c>
      <c r="N59">
        <f t="shared" si="5"/>
        <v>5622.4257163458078</v>
      </c>
      <c r="O59">
        <f t="shared" si="5"/>
        <v>6745.5147758743797</v>
      </c>
    </row>
    <row r="60" spans="1:15" x14ac:dyDescent="0.25">
      <c r="A60">
        <f t="shared" si="1"/>
        <v>-3.0660738923808067E-3</v>
      </c>
      <c r="B60">
        <v>326.14999999999998</v>
      </c>
      <c r="C60">
        <f t="shared" si="2"/>
        <v>14312.910135916738</v>
      </c>
      <c r="D60">
        <f t="shared" si="5"/>
        <v>21.706239069112137</v>
      </c>
      <c r="E60">
        <f t="shared" si="5"/>
        <v>193.62691518765982</v>
      </c>
      <c r="F60">
        <f t="shared" si="5"/>
        <v>514.23334431677347</v>
      </c>
      <c r="G60">
        <f t="shared" si="5"/>
        <v>897.2344025676872</v>
      </c>
      <c r="H60">
        <f t="shared" si="5"/>
        <v>1843.4493442285107</v>
      </c>
      <c r="I60">
        <f t="shared" si="5"/>
        <v>2646.0922870690656</v>
      </c>
      <c r="J60">
        <f t="shared" si="5"/>
        <v>3317.630215207877</v>
      </c>
      <c r="K60">
        <f t="shared" si="5"/>
        <v>3899.1577511265828</v>
      </c>
      <c r="L60">
        <f t="shared" si="5"/>
        <v>4425.046332270249</v>
      </c>
      <c r="M60">
        <f t="shared" si="5"/>
        <v>4922.2438217516547</v>
      </c>
      <c r="N60">
        <f t="shared" si="5"/>
        <v>5921.8880273796021</v>
      </c>
      <c r="O60">
        <f t="shared" si="5"/>
        <v>7101.734083427923</v>
      </c>
    </row>
    <row r="61" spans="1:15" x14ac:dyDescent="0.25">
      <c r="A61">
        <f t="shared" si="1"/>
        <v>-3.0567018187375823E-3</v>
      </c>
      <c r="B61">
        <v>327.14999999999998</v>
      </c>
      <c r="C61">
        <f t="shared" si="2"/>
        <v>15022.926270663513</v>
      </c>
      <c r="D61">
        <f t="shared" si="5"/>
        <v>23.318949084375088</v>
      </c>
      <c r="E61">
        <f t="shared" si="5"/>
        <v>206.32281577093829</v>
      </c>
      <c r="F61">
        <f t="shared" si="5"/>
        <v>545.99967383159594</v>
      </c>
      <c r="G61">
        <f t="shared" si="5"/>
        <v>950.74782854126408</v>
      </c>
      <c r="H61">
        <f t="shared" si="5"/>
        <v>1948.394061179436</v>
      </c>
      <c r="I61">
        <f t="shared" si="5"/>
        <v>2793.2023677111933</v>
      </c>
      <c r="J61">
        <f t="shared" si="5"/>
        <v>3499.3703015403271</v>
      </c>
      <c r="K61">
        <f t="shared" si="5"/>
        <v>4110.5464258464935</v>
      </c>
      <c r="L61">
        <f t="shared" si="5"/>
        <v>4663.0490208342953</v>
      </c>
      <c r="M61">
        <f t="shared" si="5"/>
        <v>5185.2871863149257</v>
      </c>
      <c r="N61">
        <f t="shared" si="5"/>
        <v>6235.0930242958684</v>
      </c>
      <c r="O61">
        <f t="shared" si="5"/>
        <v>7474.1545663744955</v>
      </c>
    </row>
    <row r="62" spans="1:15" x14ac:dyDescent="0.25">
      <c r="A62">
        <f t="shared" si="1"/>
        <v>-3.0473868657626088E-3</v>
      </c>
      <c r="B62">
        <v>328.15</v>
      </c>
      <c r="C62">
        <f t="shared" si="2"/>
        <v>15762.843367436964</v>
      </c>
      <c r="D62">
        <f t="shared" si="5"/>
        <v>25.040578904767521</v>
      </c>
      <c r="E62">
        <f t="shared" si="5"/>
        <v>219.76231991443657</v>
      </c>
      <c r="F62">
        <f t="shared" si="5"/>
        <v>579.50229856531291</v>
      </c>
      <c r="G62">
        <f t="shared" si="5"/>
        <v>1007.0684383718799</v>
      </c>
      <c r="H62">
        <f t="shared" si="5"/>
        <v>2058.5496476219632</v>
      </c>
      <c r="I62">
        <f t="shared" si="5"/>
        <v>2947.4146190258134</v>
      </c>
      <c r="J62">
        <f t="shared" si="5"/>
        <v>3689.7321245151725</v>
      </c>
      <c r="K62">
        <f t="shared" si="5"/>
        <v>4331.8410235767406</v>
      </c>
      <c r="L62">
        <f t="shared" si="5"/>
        <v>4912.1013790618008</v>
      </c>
      <c r="M62">
        <f t="shared" si="5"/>
        <v>5460.45165784652</v>
      </c>
      <c r="N62">
        <f t="shared" si="5"/>
        <v>6562.5624984116776</v>
      </c>
      <c r="O62">
        <f t="shared" si="5"/>
        <v>7863.3855900332592</v>
      </c>
    </row>
    <row r="63" spans="1:15" x14ac:dyDescent="0.25">
      <c r="A63">
        <f t="shared" si="1"/>
        <v>-3.0381285128360932E-3</v>
      </c>
      <c r="B63">
        <v>329.15</v>
      </c>
      <c r="C63">
        <f t="shared" si="2"/>
        <v>16533.677250365017</v>
      </c>
      <c r="D63">
        <f t="shared" si="5"/>
        <v>26.877715793958771</v>
      </c>
      <c r="E63">
        <f t="shared" si="5"/>
        <v>233.98349869526041</v>
      </c>
      <c r="F63">
        <f t="shared" si="5"/>
        <v>614.82304029562147</v>
      </c>
      <c r="G63">
        <f t="shared" si="5"/>
        <v>1066.3220631043255</v>
      </c>
      <c r="H63">
        <f t="shared" si="5"/>
        <v>2174.1343732343535</v>
      </c>
      <c r="I63">
        <f t="shared" si="5"/>
        <v>3109.0162967715719</v>
      </c>
      <c r="J63">
        <f t="shared" si="5"/>
        <v>3889.0568534118688</v>
      </c>
      <c r="K63">
        <f t="shared" si="5"/>
        <v>4563.4275766553428</v>
      </c>
      <c r="L63">
        <f t="shared" si="5"/>
        <v>5172.6290715030582</v>
      </c>
      <c r="M63">
        <f t="shared" si="5"/>
        <v>5748.1999164016624</v>
      </c>
      <c r="N63">
        <f t="shared" si="5"/>
        <v>6904.8334569445178</v>
      </c>
      <c r="O63">
        <f t="shared" si="5"/>
        <v>8270.0541238344722</v>
      </c>
    </row>
    <row r="64" spans="1:15" x14ac:dyDescent="0.25">
      <c r="A64">
        <f t="shared" si="1"/>
        <v>-3.0289262456459189E-3</v>
      </c>
      <c r="B64">
        <v>330.15</v>
      </c>
      <c r="C64">
        <f t="shared" si="2"/>
        <v>17336.468845517389</v>
      </c>
      <c r="D64">
        <f t="shared" si="5"/>
        <v>28.837296394333944</v>
      </c>
      <c r="E64">
        <f t="shared" si="5"/>
        <v>249.02607216749411</v>
      </c>
      <c r="F64">
        <f t="shared" si="5"/>
        <v>652.04691100831326</v>
      </c>
      <c r="G64">
        <f t="shared" si="5"/>
        <v>1128.6391303875203</v>
      </c>
      <c r="H64">
        <f t="shared" si="5"/>
        <v>2295.373790618155</v>
      </c>
      <c r="I64">
        <f t="shared" si="5"/>
        <v>3278.3037937558506</v>
      </c>
      <c r="J64">
        <f t="shared" si="5"/>
        <v>4097.6961869681845</v>
      </c>
      <c r="K64">
        <f t="shared" si="5"/>
        <v>4805.7037825440593</v>
      </c>
      <c r="L64">
        <f t="shared" si="5"/>
        <v>5445.070423664597</v>
      </c>
      <c r="M64">
        <f t="shared" si="5"/>
        <v>6049.0082349380245</v>
      </c>
      <c r="N64">
        <f t="shared" si="5"/>
        <v>7262.4584070774035</v>
      </c>
      <c r="O64">
        <f t="shared" si="5"/>
        <v>8694.805068442216</v>
      </c>
    </row>
    <row r="65" spans="1:15" x14ac:dyDescent="0.25">
      <c r="A65">
        <f t="shared" si="1"/>
        <v>-3.0197795560924054E-3</v>
      </c>
      <c r="B65">
        <v>331.15</v>
      </c>
      <c r="C65">
        <f t="shared" si="2"/>
        <v>18172.284506969376</v>
      </c>
      <c r="D65">
        <f t="shared" si="5"/>
        <v>30.926622480369737</v>
      </c>
      <c r="E65">
        <f t="shared" si="5"/>
        <v>264.93146651553087</v>
      </c>
      <c r="F65">
        <f t="shared" si="5"/>
        <v>691.26220827162683</v>
      </c>
      <c r="G65">
        <f t="shared" si="5"/>
        <v>1194.1547891974435</v>
      </c>
      <c r="H65">
        <f t="shared" si="5"/>
        <v>2422.5009065355407</v>
      </c>
      <c r="I65">
        <f t="shared" si="5"/>
        <v>3455.5828380953612</v>
      </c>
      <c r="J65">
        <f t="shared" si="5"/>
        <v>4316.0125702236674</v>
      </c>
      <c r="K65">
        <f t="shared" si="5"/>
        <v>5059.079235316326</v>
      </c>
      <c r="L65">
        <f t="shared" si="5"/>
        <v>5729.8766663963634</v>
      </c>
      <c r="M65">
        <f t="shared" si="5"/>
        <v>6363.366736195956</v>
      </c>
      <c r="N65">
        <f t="shared" si="5"/>
        <v>7636.0056410353018</v>
      </c>
      <c r="O65">
        <f t="shared" si="5"/>
        <v>9138.3015842447567</v>
      </c>
    </row>
    <row r="66" spans="1:15" x14ac:dyDescent="0.25">
      <c r="A66">
        <f t="shared" si="1"/>
        <v>-3.0106879421947915E-3</v>
      </c>
      <c r="B66">
        <v>332.15</v>
      </c>
      <c r="C66">
        <f t="shared" si="2"/>
        <v>19042.216340044048</v>
      </c>
      <c r="D66">
        <f t="shared" ref="D66:O81" si="6">ws_direct_ads_p_wT(D$14/100,$B66,$D$3,$D$4,$D$5,$D$7,$D$8,$D$9,$D$10,$D$11,$D$12)</f>
        <v>33.153377285527299</v>
      </c>
      <c r="E66">
        <f t="shared" si="6"/>
        <v>281.74287261899275</v>
      </c>
      <c r="F66">
        <f t="shared" si="6"/>
        <v>732.5606124210077</v>
      </c>
      <c r="G66">
        <f t="shared" si="6"/>
        <v>1263.009036490824</v>
      </c>
      <c r="H66">
        <f t="shared" si="6"/>
        <v>2555.7563549578481</v>
      </c>
      <c r="I66">
        <f t="shared" si="6"/>
        <v>3641.1686930523947</v>
      </c>
      <c r="J66">
        <f t="shared" si="6"/>
        <v>4544.3794127261472</v>
      </c>
      <c r="K66">
        <f t="shared" si="6"/>
        <v>5323.9756583363687</v>
      </c>
      <c r="L66">
        <f t="shared" si="6"/>
        <v>6027.512181338293</v>
      </c>
      <c r="M66">
        <f t="shared" si="6"/>
        <v>6691.7796505459246</v>
      </c>
      <c r="N66">
        <f t="shared" si="6"/>
        <v>8026.0595220922332</v>
      </c>
      <c r="O66">
        <f t="shared" si="6"/>
        <v>9601.2254211372747</v>
      </c>
    </row>
    <row r="67" spans="1:15" x14ac:dyDescent="0.25">
      <c r="A67">
        <f t="shared" si="1"/>
        <v>-3.0016509079993999E-3</v>
      </c>
      <c r="B67">
        <v>333.15</v>
      </c>
      <c r="C67">
        <f t="shared" si="2"/>
        <v>19947.382521598636</v>
      </c>
      <c r="D67">
        <f t="shared" si="6"/>
        <v>35.525642417869292</v>
      </c>
      <c r="E67">
        <f t="shared" si="6"/>
        <v>299.5053060460499</v>
      </c>
      <c r="F67">
        <f t="shared" si="6"/>
        <v>776.03728555974135</v>
      </c>
      <c r="G67">
        <f t="shared" si="6"/>
        <v>1335.3468457821605</v>
      </c>
      <c r="H67">
        <f t="shared" si="6"/>
        <v>2695.3885718928414</v>
      </c>
      <c r="I67">
        <f t="shared" si="6"/>
        <v>3835.3863583983298</v>
      </c>
      <c r="J67">
        <f t="shared" si="6"/>
        <v>4783.1813080424017</v>
      </c>
      <c r="K67">
        <f t="shared" si="6"/>
        <v>5600.8271380629876</v>
      </c>
      <c r="L67">
        <f t="shared" si="6"/>
        <v>6338.4547473540479</v>
      </c>
      <c r="M67">
        <f t="shared" si="6"/>
        <v>7034.7655747267299</v>
      </c>
      <c r="N67">
        <f t="shared" si="6"/>
        <v>8433.2207714282049</v>
      </c>
      <c r="O67">
        <f t="shared" si="6"/>
        <v>10084.27724952202</v>
      </c>
    </row>
    <row r="68" spans="1:15" x14ac:dyDescent="0.25">
      <c r="A68">
        <f t="shared" si="1"/>
        <v>-2.9926679634894511E-3</v>
      </c>
      <c r="B68">
        <v>334.15</v>
      </c>
      <c r="C68">
        <f t="shared" si="2"/>
        <v>20888.927617225192</v>
      </c>
      <c r="D68">
        <f t="shared" si="6"/>
        <v>38.051915379860361</v>
      </c>
      <c r="E68">
        <f t="shared" si="6"/>
        <v>318.26566849173679</v>
      </c>
      <c r="F68">
        <f t="shared" si="6"/>
        <v>821.79097238039765</v>
      </c>
      <c r="G68">
        <f t="shared" si="6"/>
        <v>1411.3182976359781</v>
      </c>
      <c r="H68">
        <f t="shared" si="6"/>
        <v>2841.6539719576049</v>
      </c>
      <c r="I68">
        <f t="shared" si="6"/>
        <v>4038.5707732557912</v>
      </c>
      <c r="J68">
        <f t="shared" si="6"/>
        <v>5032.8142545138926</v>
      </c>
      <c r="K68">
        <f t="shared" si="6"/>
        <v>5890.0803589116422</v>
      </c>
      <c r="L68">
        <f t="shared" si="6"/>
        <v>6663.195787880135</v>
      </c>
      <c r="M68">
        <f t="shared" si="6"/>
        <v>7392.8577313987207</v>
      </c>
      <c r="N68">
        <f t="shared" si="6"/>
        <v>8858.1067557560837</v>
      </c>
      <c r="O68">
        <f t="shared" si="6"/>
        <v>10588.176992452672</v>
      </c>
    </row>
    <row r="69" spans="1:15" x14ac:dyDescent="0.25">
      <c r="A69">
        <f t="shared" si="1"/>
        <v>-2.9837386244964941E-3</v>
      </c>
      <c r="B69">
        <v>335.15</v>
      </c>
      <c r="C69">
        <f t="shared" si="2"/>
        <v>21868.022895237402</v>
      </c>
      <c r="D69">
        <f t="shared" si="6"/>
        <v>40.741127707994508</v>
      </c>
      <c r="E69">
        <f t="shared" si="6"/>
        <v>338.0728106776042</v>
      </c>
      <c r="F69">
        <f t="shared" si="6"/>
        <v>869.92410281141349</v>
      </c>
      <c r="G69">
        <f t="shared" si="6"/>
        <v>1491.0787120654334</v>
      </c>
      <c r="H69">
        <f t="shared" si="6"/>
        <v>2994.8171266632176</v>
      </c>
      <c r="I69">
        <f t="shared" si="6"/>
        <v>4251.0670203699792</v>
      </c>
      <c r="J69">
        <f t="shared" si="6"/>
        <v>5293.6858771979878</v>
      </c>
      <c r="K69">
        <f t="shared" si="6"/>
        <v>6192.1948391079377</v>
      </c>
      <c r="L69">
        <f t="shared" si="6"/>
        <v>7002.2406191182008</v>
      </c>
      <c r="M69">
        <f t="shared" si="6"/>
        <v>7766.6042294357849</v>
      </c>
      <c r="N69">
        <f t="shared" si="6"/>
        <v>9301.3517756385845</v>
      </c>
      <c r="O69">
        <f t="shared" si="6"/>
        <v>11113.664158850315</v>
      </c>
    </row>
    <row r="70" spans="1:15" x14ac:dyDescent="0.25">
      <c r="A70">
        <f t="shared" si="1"/>
        <v>-2.974862412613417E-3</v>
      </c>
      <c r="B70">
        <v>336.15</v>
      </c>
      <c r="C70">
        <f t="shared" si="2"/>
        <v>22885.866637319985</v>
      </c>
      <c r="D70">
        <f t="shared" si="6"/>
        <v>43.602663748138639</v>
      </c>
      <c r="E70">
        <f t="shared" si="6"/>
        <v>358.97759672889924</v>
      </c>
      <c r="F70">
        <f t="shared" si="6"/>
        <v>920.54289649265195</v>
      </c>
      <c r="G70">
        <f t="shared" si="6"/>
        <v>1574.7887828278192</v>
      </c>
      <c r="H70">
        <f t="shared" si="6"/>
        <v>3155.1509443767764</v>
      </c>
      <c r="I70">
        <f t="shared" si="6"/>
        <v>4473.2305317596301</v>
      </c>
      <c r="J70">
        <f t="shared" si="6"/>
        <v>5566.2156509350598</v>
      </c>
      <c r="K70">
        <f t="shared" si="6"/>
        <v>6507.643167466008</v>
      </c>
      <c r="L70">
        <f t="shared" si="6"/>
        <v>7356.1086989988798</v>
      </c>
      <c r="M70">
        <f t="shared" si="6"/>
        <v>8156.5683248809</v>
      </c>
      <c r="N70">
        <f t="shared" si="6"/>
        <v>9763.6073544168212</v>
      </c>
      <c r="O70">
        <f t="shared" si="6"/>
        <v>11661.498177720583</v>
      </c>
    </row>
    <row r="71" spans="1:15" x14ac:dyDescent="0.25">
      <c r="A71">
        <f t="shared" si="1"/>
        <v>-2.9660388551090021E-3</v>
      </c>
      <c r="B71">
        <v>337.15</v>
      </c>
      <c r="C71">
        <f t="shared" si="2"/>
        <v>23943.6844457179</v>
      </c>
      <c r="D71">
        <f t="shared" si="6"/>
        <v>46.646380082672501</v>
      </c>
      <c r="E71">
        <f t="shared" si="6"/>
        <v>381.03297004510688</v>
      </c>
      <c r="F71">
        <f t="shared" si="6"/>
        <v>973.75746908310566</v>
      </c>
      <c r="G71">
        <f t="shared" si="6"/>
        <v>1662.6147136066188</v>
      </c>
      <c r="H71">
        <f t="shared" si="6"/>
        <v>3322.9368519255268</v>
      </c>
      <c r="I71">
        <f t="shared" si="6"/>
        <v>4705.4272956970581</v>
      </c>
      <c r="J71">
        <f t="shared" si="6"/>
        <v>5850.8351244810874</v>
      </c>
      <c r="K71">
        <f t="shared" si="6"/>
        <v>6836.9112410244616</v>
      </c>
      <c r="L71">
        <f t="shared" si="6"/>
        <v>7725.3338768448602</v>
      </c>
      <c r="M71">
        <f t="shared" si="6"/>
        <v>8563.328682489233</v>
      </c>
      <c r="N71">
        <f t="shared" si="6"/>
        <v>10245.542527671505</v>
      </c>
      <c r="O71">
        <f t="shared" si="6"/>
        <v>12232.458733301653</v>
      </c>
    </row>
    <row r="72" spans="1:15" x14ac:dyDescent="0.25">
      <c r="A72">
        <f t="shared" si="1"/>
        <v>-2.9572674848440043E-3</v>
      </c>
      <c r="B72">
        <v>338.15</v>
      </c>
      <c r="C72">
        <f t="shared" si="2"/>
        <v>25042.729546849547</v>
      </c>
      <c r="D72">
        <f t="shared" si="6"/>
        <v>49.882625625748879</v>
      </c>
      <c r="E72">
        <f t="shared" si="6"/>
        <v>404.29402067962815</v>
      </c>
      <c r="F72">
        <f t="shared" si="6"/>
        <v>1029.681940403543</v>
      </c>
      <c r="G72">
        <f t="shared" si="6"/>
        <v>1754.7283560694111</v>
      </c>
      <c r="H72">
        <f t="shared" si="6"/>
        <v>3498.46497780765</v>
      </c>
      <c r="I72">
        <f t="shared" si="6"/>
        <v>4948.0340649671753</v>
      </c>
      <c r="J72">
        <f t="shared" si="6"/>
        <v>6147.9881456461471</v>
      </c>
      <c r="K72">
        <f t="shared" si="6"/>
        <v>7180.4985034737756</v>
      </c>
      <c r="L72">
        <f t="shared" si="6"/>
        <v>8110.4646436623607</v>
      </c>
      <c r="M72">
        <f t="shared" si="6"/>
        <v>8987.4796377847124</v>
      </c>
      <c r="N72">
        <f t="shared" si="6"/>
        <v>10747.84413314031</v>
      </c>
      <c r="O72">
        <f t="shared" si="6"/>
        <v>12827.346101076339</v>
      </c>
    </row>
    <row r="73" spans="1:15" x14ac:dyDescent="0.25">
      <c r="A73">
        <f t="shared" si="1"/>
        <v>-2.9485478401887074E-3</v>
      </c>
      <c r="B73">
        <v>339.15</v>
      </c>
      <c r="C73">
        <f t="shared" si="2"/>
        <v>26184.28309122688</v>
      </c>
      <c r="D73">
        <f t="shared" si="6"/>
        <v>53.322262403183814</v>
      </c>
      <c r="E73">
        <f t="shared" si="6"/>
        <v>428.81805424395009</v>
      </c>
      <c r="F73">
        <f t="shared" si="6"/>
        <v>1088.4345444161024</v>
      </c>
      <c r="G73">
        <f t="shared" si="6"/>
        <v>1851.3073497898843</v>
      </c>
      <c r="H73">
        <f t="shared" si="6"/>
        <v>3682.0343369731791</v>
      </c>
      <c r="I73">
        <f t="shared" si="6"/>
        <v>5201.4385663540961</v>
      </c>
      <c r="J73">
        <f t="shared" si="6"/>
        <v>6458.1310873779103</v>
      </c>
      <c r="K73">
        <f t="shared" si="6"/>
        <v>7538.918184307674</v>
      </c>
      <c r="L73">
        <f t="shared" si="6"/>
        <v>8512.0643829889159</v>
      </c>
      <c r="M73">
        <f t="shared" si="6"/>
        <v>9429.6314595546792</v>
      </c>
      <c r="N73">
        <f t="shared" si="6"/>
        <v>11271.217101013801</v>
      </c>
      <c r="O73">
        <f t="shared" si="6"/>
        <v>13446.981484580632</v>
      </c>
    </row>
    <row r="74" spans="1:15" x14ac:dyDescent="0.25">
      <c r="A74">
        <f t="shared" si="1"/>
        <v>-2.9398794649419377E-3</v>
      </c>
      <c r="B74">
        <v>340.15</v>
      </c>
      <c r="C74">
        <f t="shared" si="2"/>
        <v>27369.654449574002</v>
      </c>
      <c r="D74">
        <f t="shared" si="6"/>
        <v>56.976687033716743</v>
      </c>
      <c r="E74">
        <f t="shared" si="6"/>
        <v>454.66466235159862</v>
      </c>
      <c r="F74">
        <f t="shared" si="6"/>
        <v>1150.1377410426246</v>
      </c>
      <c r="G74">
        <f t="shared" si="6"/>
        <v>1952.5352640220667</v>
      </c>
      <c r="H74">
        <f t="shared" si="6"/>
        <v>3873.9530171387391</v>
      </c>
      <c r="I74">
        <f t="shared" si="6"/>
        <v>5466.0397113047984</v>
      </c>
      <c r="J74">
        <f t="shared" si="6"/>
        <v>6781.7330747305987</v>
      </c>
      <c r="K74">
        <f t="shared" si="6"/>
        <v>7912.697538632854</v>
      </c>
      <c r="L74">
        <f t="shared" si="6"/>
        <v>8930.7116222274672</v>
      </c>
      <c r="M74">
        <f t="shared" si="6"/>
        <v>9890.4106127097075</v>
      </c>
      <c r="N74">
        <f t="shared" si="6"/>
        <v>11816.384744535604</v>
      </c>
      <c r="O74">
        <f t="shared" si="6"/>
        <v>14092.207352945859</v>
      </c>
    </row>
    <row r="75" spans="1:15" x14ac:dyDescent="0.25">
      <c r="A75">
        <f t="shared" si="1"/>
        <v>-2.9312619082515023E-3</v>
      </c>
      <c r="B75">
        <v>341.15</v>
      </c>
      <c r="C75">
        <f t="shared" si="2"/>
        <v>28600.181505033463</v>
      </c>
      <c r="D75">
        <f t="shared" si="6"/>
        <v>60.857852928594326</v>
      </c>
      <c r="E75">
        <f t="shared" si="6"/>
        <v>481.89579461675982</v>
      </c>
      <c r="F75">
        <f t="shared" si="6"/>
        <v>1214.9183298226212</v>
      </c>
      <c r="G75">
        <f t="shared" si="6"/>
        <v>2058.6017413137602</v>
      </c>
      <c r="H75">
        <f t="shared" si="6"/>
        <v>4074.5383665984486</v>
      </c>
      <c r="I75">
        <f t="shared" si="6"/>
        <v>5742.2478077177984</v>
      </c>
      <c r="J75">
        <f t="shared" si="6"/>
        <v>7119.2762126583011</v>
      </c>
      <c r="K75">
        <f t="shared" si="6"/>
        <v>8302.3780875698012</v>
      </c>
      <c r="L75">
        <f t="shared" si="6"/>
        <v>9367.0002843952716</v>
      </c>
      <c r="M75">
        <f t="shared" si="6"/>
        <v>10370.460021434186</v>
      </c>
      <c r="N75">
        <f t="shared" si="6"/>
        <v>12384.089050830915</v>
      </c>
      <c r="O75">
        <f t="shared" si="6"/>
        <v>14763.887779109946</v>
      </c>
    </row>
    <row r="76" spans="1:15" x14ac:dyDescent="0.25">
      <c r="A76">
        <f t="shared" si="1"/>
        <v>-2.9226947245360223E-3</v>
      </c>
      <c r="B76">
        <v>342.15</v>
      </c>
      <c r="C76">
        <f t="shared" si="2"/>
        <v>29877.230941358961</v>
      </c>
      <c r="D76">
        <f t="shared" si="6"/>
        <v>64.978293226627613</v>
      </c>
      <c r="E76">
        <f t="shared" si="6"/>
        <v>510.57583222237872</v>
      </c>
      <c r="F76">
        <f t="shared" si="6"/>
        <v>1282.9075654116589</v>
      </c>
      <c r="G76">
        <f t="shared" si="6"/>
        <v>2169.7026429460548</v>
      </c>
      <c r="H76">
        <f t="shared" si="6"/>
        <v>4284.1171834938632</v>
      </c>
      <c r="I76">
        <f t="shared" si="6"/>
        <v>6030.4847728060258</v>
      </c>
      <c r="J76">
        <f t="shared" si="6"/>
        <v>7471.2558145732892</v>
      </c>
      <c r="K76">
        <f t="shared" si="6"/>
        <v>8708.5158591796389</v>
      </c>
      <c r="L76">
        <f t="shared" si="6"/>
        <v>9821.5399402186067</v>
      </c>
      <c r="M76">
        <f t="shared" si="6"/>
        <v>10870.439332556096</v>
      </c>
      <c r="N76">
        <f t="shared" si="6"/>
        <v>12975.090971891368</v>
      </c>
      <c r="O76">
        <f t="shared" si="6"/>
        <v>15462.908778638995</v>
      </c>
    </row>
    <row r="77" spans="1:15" x14ac:dyDescent="0.25">
      <c r="A77">
        <f t="shared" si="1"/>
        <v>-2.9141774734081308E-3</v>
      </c>
      <c r="B77">
        <v>343.15</v>
      </c>
      <c r="C77">
        <f t="shared" si="2"/>
        <v>31202.198526991768</v>
      </c>
      <c r="D77">
        <f t="shared" si="6"/>
        <v>69.351144482100025</v>
      </c>
      <c r="E77">
        <f t="shared" si="6"/>
        <v>540.77166307214668</v>
      </c>
      <c r="F77">
        <f t="shared" si="6"/>
        <v>1354.2412749200337</v>
      </c>
      <c r="G77">
        <f t="shared" si="6"/>
        <v>2286.0401961849057</v>
      </c>
      <c r="H77">
        <f t="shared" si="6"/>
        <v>4503.0259065046757</v>
      </c>
      <c r="I77">
        <f t="shared" si="6"/>
        <v>6331.184346981765</v>
      </c>
      <c r="J77">
        <f t="shared" si="6"/>
        <v>7838.180631608664</v>
      </c>
      <c r="K77">
        <f t="shared" si="6"/>
        <v>9131.6816298506928</v>
      </c>
      <c r="L77">
        <f t="shared" si="6"/>
        <v>10294.956060503138</v>
      </c>
      <c r="M77">
        <f t="shared" si="6"/>
        <v>11391.025179063377</v>
      </c>
      <c r="N77">
        <f t="shared" si="6"/>
        <v>13590.170715643007</v>
      </c>
      <c r="O77">
        <f t="shared" si="6"/>
        <v>16190.178649099231</v>
      </c>
    </row>
    <row r="78" spans="1:15" x14ac:dyDescent="0.25">
      <c r="A78">
        <f t="shared" si="1"/>
        <v>-2.9057097195990121E-3</v>
      </c>
      <c r="B78">
        <v>344.15</v>
      </c>
      <c r="C78">
        <f t="shared" si="2"/>
        <v>32576.509394925415</v>
      </c>
      <c r="D78">
        <f t="shared" si="6"/>
        <v>73.990171123105327</v>
      </c>
      <c r="E78">
        <f t="shared" si="6"/>
        <v>572.55275854066804</v>
      </c>
      <c r="F78">
        <f t="shared" si="6"/>
        <v>1429.0599770914919</v>
      </c>
      <c r="G78">
        <f t="shared" si="6"/>
        <v>2407.8231433304049</v>
      </c>
      <c r="H78">
        <f t="shared" si="6"/>
        <v>4731.6108069220636</v>
      </c>
      <c r="I78">
        <f t="shared" si="6"/>
        <v>6644.7923087123954</v>
      </c>
      <c r="J78">
        <f t="shared" si="6"/>
        <v>8220.5730825260071</v>
      </c>
      <c r="K78">
        <f t="shared" si="6"/>
        <v>9572.4611660800801</v>
      </c>
      <c r="L78">
        <f t="shared" si="6"/>
        <v>10787.890268711642</v>
      </c>
      <c r="M78">
        <f t="shared" si="6"/>
        <v>11932.911443696397</v>
      </c>
      <c r="N78">
        <f t="shared" si="6"/>
        <v>14230.128037027383</v>
      </c>
      <c r="O78">
        <f t="shared" si="6"/>
        <v>16946.628309923908</v>
      </c>
    </row>
    <row r="79" spans="1:15" x14ac:dyDescent="0.25">
      <c r="A79">
        <f t="shared" si="1"/>
        <v>-2.8972910328842532E-3</v>
      </c>
      <c r="B79">
        <v>345.15</v>
      </c>
      <c r="C79">
        <f t="shared" si="2"/>
        <v>34001.618318264256</v>
      </c>
      <c r="D79">
        <f t="shared" si="6"/>
        <v>78.909790698096685</v>
      </c>
      <c r="E79">
        <f t="shared" si="6"/>
        <v>605.99125183578371</v>
      </c>
      <c r="F79">
        <f t="shared" si="6"/>
        <v>1507.5090033209131</v>
      </c>
      <c r="G79">
        <f t="shared" si="6"/>
        <v>2535.2668925487237</v>
      </c>
      <c r="H79">
        <f t="shared" si="6"/>
        <v>4970.2281820660028</v>
      </c>
      <c r="I79">
        <f t="shared" si="6"/>
        <v>6971.7666902949541</v>
      </c>
      <c r="J79">
        <f t="shared" si="6"/>
        <v>8618.9694842080153</v>
      </c>
      <c r="K79">
        <f t="shared" si="6"/>
        <v>10031.455466585199</v>
      </c>
      <c r="L79">
        <f t="shared" si="6"/>
        <v>11301.000593680632</v>
      </c>
      <c r="M79">
        <f t="shared" si="6"/>
        <v>12496.809522545956</v>
      </c>
      <c r="N79">
        <f t="shared" si="6"/>
        <v>14895.782529025522</v>
      </c>
      <c r="O79">
        <f t="shared" si="6"/>
        <v>17733.211642720384</v>
      </c>
    </row>
    <row r="80" spans="1:15" x14ac:dyDescent="0.25">
      <c r="A80">
        <f t="shared" si="1"/>
        <v>-2.8889209880109783E-3</v>
      </c>
      <c r="B80">
        <v>346.15</v>
      </c>
      <c r="C80">
        <f t="shared" si="2"/>
        <v>35479.009981387564</v>
      </c>
      <c r="D80">
        <f t="shared" si="6"/>
        <v>84.125099928648055</v>
      </c>
      <c r="E80">
        <f t="shared" si="6"/>
        <v>641.16201798679708</v>
      </c>
      <c r="F80">
        <f t="shared" si="6"/>
        <v>1589.7386205097605</v>
      </c>
      <c r="G80">
        <f t="shared" si="6"/>
        <v>2668.593670471384</v>
      </c>
      <c r="H80">
        <f t="shared" si="6"/>
        <v>5219.2445500077993</v>
      </c>
      <c r="I80">
        <f t="shared" si="6"/>
        <v>7312.577994498246</v>
      </c>
      <c r="J80">
        <f t="shared" si="6"/>
        <v>9033.9202826773035</v>
      </c>
      <c r="K80">
        <f t="shared" si="6"/>
        <v>10509.281004681376</v>
      </c>
      <c r="L80">
        <f t="shared" si="6"/>
        <v>11834.961722408891</v>
      </c>
      <c r="M80">
        <f t="shared" si="6"/>
        <v>13083.448588588131</v>
      </c>
      <c r="N80">
        <f t="shared" si="6"/>
        <v>15587.973913557506</v>
      </c>
      <c r="O80">
        <f t="shared" si="6"/>
        <v>18550.905831966298</v>
      </c>
    </row>
    <row r="81" spans="1:15" x14ac:dyDescent="0.25">
      <c r="A81">
        <f t="shared" si="1"/>
        <v>-2.8805991646262425E-3</v>
      </c>
      <c r="B81">
        <v>347.15</v>
      </c>
      <c r="C81">
        <f t="shared" si="2"/>
        <v>37010.199246632306</v>
      </c>
      <c r="D81">
        <f t="shared" si="6"/>
        <v>89.651901586632889</v>
      </c>
      <c r="E81">
        <f t="shared" si="6"/>
        <v>678.14275547212446</v>
      </c>
      <c r="F81">
        <f t="shared" si="6"/>
        <v>1675.9041557572586</v>
      </c>
      <c r="G81">
        <f t="shared" si="6"/>
        <v>2808.0326765458135</v>
      </c>
      <c r="H81">
        <f t="shared" si="6"/>
        <v>5479.036845558705</v>
      </c>
      <c r="I81">
        <f t="shared" si="6"/>
        <v>7667.7094120206584</v>
      </c>
      <c r="J81">
        <f t="shared" si="6"/>
        <v>9465.9902845820998</v>
      </c>
      <c r="K81">
        <f t="shared" si="6"/>
        <v>11006.569970861698</v>
      </c>
      <c r="L81">
        <f t="shared" si="6"/>
        <v>12390.465252851052</v>
      </c>
      <c r="M81">
        <f t="shared" si="6"/>
        <v>13693.575855087392</v>
      </c>
      <c r="N81">
        <f t="shared" si="6"/>
        <v>16307.562332190368</v>
      </c>
      <c r="O81">
        <f t="shared" si="6"/>
        <v>19400.711706045011</v>
      </c>
    </row>
    <row r="82" spans="1:15" x14ac:dyDescent="0.25">
      <c r="A82">
        <f t="shared" ref="A82:A107" si="7">-1/B82</f>
        <v>-2.8723251472066642E-3</v>
      </c>
      <c r="B82">
        <v>348.15</v>
      </c>
      <c r="C82">
        <f t="shared" ref="C82:C107" si="8">ws_direct_ref_p_sat_T(B82,$D$3,$D$4,$D$5,$D$7,$D$8,$D$9,$D$10,$D$11,$D$12)</f>
        <v>38596.73141641367</v>
      </c>
      <c r="D82">
        <f t="shared" ref="D82:O97" si="9">ws_direct_ads_p_wT(D$14/100,$B82,$D$3,$D$4,$D$5,$D$7,$D$8,$D$9,$D$10,$D$11,$D$12)</f>
        <v>95.506732214220904</v>
      </c>
      <c r="E82">
        <f t="shared" si="9"/>
        <v>717.01406949965633</v>
      </c>
      <c r="F82">
        <f t="shared" si="9"/>
        <v>1766.1661228852167</v>
      </c>
      <c r="G82">
        <f t="shared" si="9"/>
        <v>2953.8202391209388</v>
      </c>
      <c r="H82">
        <f t="shared" si="9"/>
        <v>5749.9926174855027</v>
      </c>
      <c r="I82">
        <f t="shared" si="9"/>
        <v>8037.657039712627</v>
      </c>
      <c r="J82">
        <f t="shared" si="9"/>
        <v>9915.7588890906736</v>
      </c>
      <c r="K82">
        <f t="shared" si="9"/>
        <v>11523.970515516519</v>
      </c>
      <c r="L82">
        <f t="shared" si="9"/>
        <v>12968.219946650885</v>
      </c>
      <c r="M82">
        <f t="shared" si="9"/>
        <v>14327.956838801294</v>
      </c>
      <c r="N82">
        <f t="shared" si="9"/>
        <v>17055.428636590041</v>
      </c>
      <c r="O82">
        <f t="shared" si="9"/>
        <v>20283.654078574189</v>
      </c>
    </row>
    <row r="83" spans="1:15" x14ac:dyDescent="0.25">
      <c r="A83">
        <f t="shared" si="7"/>
        <v>-2.8640985249892598E-3</v>
      </c>
      <c r="B83">
        <v>349.15</v>
      </c>
      <c r="C83">
        <f t="shared" si="8"/>
        <v>40240.18249070453</v>
      </c>
      <c r="D83">
        <f t="shared" si="9"/>
        <v>101.70689070530746</v>
      </c>
      <c r="E83">
        <f t="shared" si="9"/>
        <v>757.85955695279006</v>
      </c>
      <c r="F83">
        <f t="shared" si="9"/>
        <v>1860.6903507935715</v>
      </c>
      <c r="G83">
        <f t="shared" si="9"/>
        <v>3106.1999732509421</v>
      </c>
      <c r="H83">
        <f t="shared" si="9"/>
        <v>6032.5102269136578</v>
      </c>
      <c r="I83">
        <f t="shared" si="9"/>
        <v>8422.930099512374</v>
      </c>
      <c r="J83">
        <f t="shared" si="9"/>
        <v>10383.820320136298</v>
      </c>
      <c r="K83">
        <f t="shared" si="9"/>
        <v>12062.146991730106</v>
      </c>
      <c r="L83">
        <f t="shared" si="9"/>
        <v>13568.951981749346</v>
      </c>
      <c r="M83">
        <f t="shared" si="9"/>
        <v>14987.37562292063</v>
      </c>
      <c r="N83">
        <f t="shared" si="9"/>
        <v>17832.474678653558</v>
      </c>
      <c r="O83">
        <f t="shared" si="9"/>
        <v>21200.782089983113</v>
      </c>
    </row>
    <row r="84" spans="1:15" x14ac:dyDescent="0.25">
      <c r="A84">
        <f t="shared" si="7"/>
        <v>-2.8559188919034702E-3</v>
      </c>
      <c r="B84">
        <v>350.15</v>
      </c>
      <c r="C84">
        <f t="shared" si="8"/>
        <v>41942.159419800329</v>
      </c>
      <c r="D84">
        <f t="shared" si="9"/>
        <v>108.27046776721014</v>
      </c>
      <c r="E84">
        <f t="shared" si="9"/>
        <v>800.76589301502577</v>
      </c>
      <c r="F84">
        <f t="shared" si="9"/>
        <v>1959.6481136436998</v>
      </c>
      <c r="G84">
        <f t="shared" si="9"/>
        <v>3265.4229402000906</v>
      </c>
      <c r="H84">
        <f t="shared" si="9"/>
        <v>6326.9990468787282</v>
      </c>
      <c r="I84">
        <f t="shared" si="9"/>
        <v>8824.0511580442235</v>
      </c>
      <c r="J84">
        <f t="shared" si="9"/>
        <v>10870.783858955536</v>
      </c>
      <c r="K84">
        <f t="shared" si="9"/>
        <v>12621.780198093453</v>
      </c>
      <c r="L84">
        <f t="shared" si="9"/>
        <v>14193.405204803958</v>
      </c>
      <c r="M84">
        <f t="shared" si="9"/>
        <v>15672.635119680584</v>
      </c>
      <c r="N84">
        <f t="shared" si="9"/>
        <v>18639.623600260376</v>
      </c>
      <c r="O84">
        <f t="shared" si="9"/>
        <v>22153.169549297956</v>
      </c>
    </row>
    <row r="85" spans="1:15" x14ac:dyDescent="0.25">
      <c r="A85">
        <f t="shared" si="7"/>
        <v>-2.847785846504343E-3</v>
      </c>
      <c r="B85">
        <v>351.15</v>
      </c>
      <c r="C85">
        <f t="shared" si="8"/>
        <v>43704.300352297949</v>
      </c>
      <c r="D85">
        <f t="shared" si="9"/>
        <v>115.21637628162863</v>
      </c>
      <c r="E85">
        <f t="shared" si="9"/>
        <v>845.82291948559055</v>
      </c>
      <c r="F85">
        <f t="shared" si="9"/>
        <v>2063.2162628657979</v>
      </c>
      <c r="G85">
        <f t="shared" si="9"/>
        <v>3431.747808630942</v>
      </c>
      <c r="H85">
        <f t="shared" si="9"/>
        <v>6633.8796629863637</v>
      </c>
      <c r="I85">
        <f t="shared" si="9"/>
        <v>9241.5563468286146</v>
      </c>
      <c r="J85">
        <f t="shared" si="9"/>
        <v>11377.27407686261</v>
      </c>
      <c r="K85">
        <f t="shared" si="9"/>
        <v>13203.567621472124</v>
      </c>
      <c r="L85">
        <f t="shared" si="9"/>
        <v>14842.341383356428</v>
      </c>
      <c r="M85">
        <f t="shared" si="9"/>
        <v>16384.557332579094</v>
      </c>
      <c r="N85">
        <f t="shared" si="9"/>
        <v>19477.820122582532</v>
      </c>
      <c r="O85">
        <f t="shared" si="9"/>
        <v>23141.915276095933</v>
      </c>
    </row>
    <row r="86" spans="1:15" x14ac:dyDescent="0.25">
      <c r="A86">
        <f t="shared" si="7"/>
        <v>-2.8396989919068582E-3</v>
      </c>
      <c r="B86">
        <v>352.15</v>
      </c>
      <c r="C86">
        <f t="shared" si="8"/>
        <v>45528.274878223747</v>
      </c>
      <c r="D86">
        <f t="shared" si="9"/>
        <v>122.56438258412167</v>
      </c>
      <c r="E86">
        <f t="shared" si="9"/>
        <v>893.12373479846087</v>
      </c>
      <c r="F86">
        <f t="shared" si="9"/>
        <v>2171.5773609865314</v>
      </c>
      <c r="G86">
        <f t="shared" si="9"/>
        <v>3605.4410174582504</v>
      </c>
      <c r="H86">
        <f t="shared" si="9"/>
        <v>6953.5840751417982</v>
      </c>
      <c r="I86">
        <f t="shared" si="9"/>
        <v>9675.9955830539238</v>
      </c>
      <c r="J86">
        <f t="shared" si="9"/>
        <v>11903.931068204192</v>
      </c>
      <c r="K86">
        <f t="shared" si="9"/>
        <v>13808.223679670127</v>
      </c>
      <c r="L86">
        <f t="shared" si="9"/>
        <v>15516.540457687621</v>
      </c>
      <c r="M86">
        <f t="shared" si="9"/>
        <v>17123.983618141006</v>
      </c>
      <c r="N86">
        <f t="shared" si="9"/>
        <v>20348.030834896428</v>
      </c>
      <c r="O86">
        <f t="shared" si="9"/>
        <v>24168.143442594017</v>
      </c>
    </row>
    <row r="87" spans="1:15" x14ac:dyDescent="0.25">
      <c r="A87">
        <f t="shared" si="7"/>
        <v>-2.831657935721365E-3</v>
      </c>
      <c r="B87">
        <v>353.15</v>
      </c>
      <c r="C87">
        <f t="shared" si="8"/>
        <v>47415.78426724521</v>
      </c>
      <c r="D87">
        <f t="shared" si="9"/>
        <v>130.33513868151366</v>
      </c>
      <c r="E87">
        <f t="shared" si="9"/>
        <v>942.76478575685769</v>
      </c>
      <c r="F87">
        <f t="shared" si="9"/>
        <v>2284.9198172724796</v>
      </c>
      <c r="G87">
        <f t="shared" si="9"/>
        <v>3786.7769403500288</v>
      </c>
      <c r="H87">
        <f t="shared" si="9"/>
        <v>7286.555900308801</v>
      </c>
      <c r="I87">
        <f t="shared" si="9"/>
        <v>10127.93279085959</v>
      </c>
      <c r="J87">
        <f t="shared" si="9"/>
        <v>12451.410683438127</v>
      </c>
      <c r="K87">
        <f t="shared" si="9"/>
        <v>14436.479963930064</v>
      </c>
      <c r="L87">
        <f t="shared" si="9"/>
        <v>16216.800792298342</v>
      </c>
      <c r="M87">
        <f t="shared" si="9"/>
        <v>17891.774947166057</v>
      </c>
      <c r="N87">
        <f t="shared" si="9"/>
        <v>21251.244482838902</v>
      </c>
      <c r="O87">
        <f t="shared" si="9"/>
        <v>25233.00391583793</v>
      </c>
    </row>
    <row r="88" spans="1:15" x14ac:dyDescent="0.25">
      <c r="A88">
        <f t="shared" si="7"/>
        <v>-2.8236622899901172E-3</v>
      </c>
      <c r="B88">
        <v>354.15</v>
      </c>
      <c r="C88">
        <f t="shared" si="8"/>
        <v>49368.561701911945</v>
      </c>
      <c r="D88">
        <f t="shared" si="9"/>
        <v>138.55021542688377</v>
      </c>
      <c r="E88">
        <f t="shared" si="9"/>
        <v>994.84596099510884</v>
      </c>
      <c r="F88">
        <f t="shared" si="9"/>
        <v>2403.4380251849643</v>
      </c>
      <c r="G88">
        <f t="shared" si="9"/>
        <v>3976.0380518576894</v>
      </c>
      <c r="H88">
        <f t="shared" si="9"/>
        <v>7633.2505762596866</v>
      </c>
      <c r="I88">
        <f t="shared" si="9"/>
        <v>10597.946123082091</v>
      </c>
      <c r="J88">
        <f t="shared" si="9"/>
        <v>13020.38476228262</v>
      </c>
      <c r="K88">
        <f t="shared" si="9"/>
        <v>15089.085481213182</v>
      </c>
      <c r="L88">
        <f t="shared" si="9"/>
        <v>16943.939426958419</v>
      </c>
      <c r="M88">
        <f t="shared" si="9"/>
        <v>18688.812165403309</v>
      </c>
      <c r="N88">
        <f t="shared" si="9"/>
        <v>22188.472256055633</v>
      </c>
      <c r="O88">
        <f t="shared" si="9"/>
        <v>26337.672599964935</v>
      </c>
    </row>
    <row r="89" spans="1:15" x14ac:dyDescent="0.25">
      <c r="A89">
        <f t="shared" si="7"/>
        <v>-2.8157116711248768E-3</v>
      </c>
      <c r="B89">
        <v>355.15</v>
      </c>
      <c r="C89">
        <f t="shared" si="8"/>
        <v>51388.372505865787</v>
      </c>
      <c r="D89">
        <f t="shared" si="9"/>
        <v>147.23213667194901</v>
      </c>
      <c r="E89">
        <f t="shared" si="9"/>
        <v>1049.4706861794823</v>
      </c>
      <c r="F89">
        <f t="shared" si="9"/>
        <v>2527.332501640919</v>
      </c>
      <c r="G89">
        <f t="shared" si="9"/>
        <v>4173.5150951559735</v>
      </c>
      <c r="H89">
        <f t="shared" si="9"/>
        <v>7994.1355662759524</v>
      </c>
      <c r="I89">
        <f t="shared" si="9"/>
        <v>11086.628183413559</v>
      </c>
      <c r="J89">
        <f t="shared" si="9"/>
        <v>13611.541366880205</v>
      </c>
      <c r="K89">
        <f t="shared" si="9"/>
        <v>15766.806896200835</v>
      </c>
      <c r="L89">
        <f t="shared" si="9"/>
        <v>17698.792327264131</v>
      </c>
      <c r="M89">
        <f t="shared" si="9"/>
        <v>19515.996253591878</v>
      </c>
      <c r="N89">
        <f t="shared" si="9"/>
        <v>23160.748075187141</v>
      </c>
      <c r="O89">
        <f t="shared" si="9"/>
        <v>27483.35177851094</v>
      </c>
    </row>
    <row r="90" spans="1:15" x14ac:dyDescent="0.25">
      <c r="A90">
        <f t="shared" si="7"/>
        <v>-2.8078056998455708E-3</v>
      </c>
      <c r="B90">
        <v>356.15</v>
      </c>
      <c r="C90">
        <f t="shared" si="8"/>
        <v>53477.014366974297</v>
      </c>
      <c r="D90">
        <f t="shared" si="9"/>
        <v>156.40441441691675</v>
      </c>
      <c r="E90">
        <f t="shared" si="9"/>
        <v>1106.7460209594856</v>
      </c>
      <c r="F90">
        <f t="shared" si="9"/>
        <v>2656.8100280748267</v>
      </c>
      <c r="G90">
        <f t="shared" si="9"/>
        <v>4379.5072513741688</v>
      </c>
      <c r="H90">
        <f t="shared" si="9"/>
        <v>8369.690564761755</v>
      </c>
      <c r="I90">
        <f t="shared" si="9"/>
        <v>11594.586248925878</v>
      </c>
      <c r="J90">
        <f t="shared" si="9"/>
        <v>14225.585014924909</v>
      </c>
      <c r="K90">
        <f t="shared" si="9"/>
        <v>16470.428772963412</v>
      </c>
      <c r="L90">
        <f t="shared" si="9"/>
        <v>18482.214634649295</v>
      </c>
      <c r="M90">
        <f t="shared" si="9"/>
        <v>20374.248586814007</v>
      </c>
      <c r="N90">
        <f t="shared" si="9"/>
        <v>24169.128878145202</v>
      </c>
      <c r="O90">
        <f t="shared" si="9"/>
        <v>28671.270456742513</v>
      </c>
    </row>
    <row r="91" spans="1:15" x14ac:dyDescent="0.25">
      <c r="A91">
        <f t="shared" si="7"/>
        <v>-2.7999440011199778E-3</v>
      </c>
      <c r="B91">
        <v>357.15</v>
      </c>
      <c r="C91">
        <f t="shared" si="8"/>
        <v>55636.317555334819</v>
      </c>
      <c r="D91">
        <f t="shared" si="9"/>
        <v>166.09158497801616</v>
      </c>
      <c r="E91">
        <f t="shared" si="9"/>
        <v>1166.7827576807629</v>
      </c>
      <c r="F91">
        <f t="shared" si="9"/>
        <v>2792.0837932957543</v>
      </c>
      <c r="G91">
        <f t="shared" si="9"/>
        <v>4594.3223104988556</v>
      </c>
      <c r="H91">
        <f t="shared" si="9"/>
        <v>8760.4077037299739</v>
      </c>
      <c r="I91">
        <f t="shared" si="9"/>
        <v>12122.44249291095</v>
      </c>
      <c r="J91">
        <f t="shared" si="9"/>
        <v>14863.236912698449</v>
      </c>
      <c r="K91">
        <f t="shared" si="9"/>
        <v>17200.753816240245</v>
      </c>
      <c r="L91">
        <f t="shared" si="9"/>
        <v>19295.080915792587</v>
      </c>
      <c r="M91">
        <f t="shared" si="9"/>
        <v>21264.511193103241</v>
      </c>
      <c r="N91">
        <f t="shared" si="9"/>
        <v>25214.694905628843</v>
      </c>
      <c r="O91">
        <f t="shared" si="9"/>
        <v>29902.684703990832</v>
      </c>
    </row>
    <row r="92" spans="1:15" x14ac:dyDescent="0.25">
      <c r="A92">
        <f t="shared" si="7"/>
        <v>-2.7921262041044259E-3</v>
      </c>
      <c r="B92">
        <v>358.15</v>
      </c>
      <c r="C92">
        <f t="shared" si="8"/>
        <v>57868.145136113359</v>
      </c>
      <c r="D92">
        <f t="shared" si="9"/>
        <v>176.31924619319756</v>
      </c>
      <c r="E92">
        <f t="shared" si="9"/>
        <v>1229.6955218707531</v>
      </c>
      <c r="F92">
        <f t="shared" si="9"/>
        <v>2933.3735381338975</v>
      </c>
      <c r="G92">
        <f t="shared" si="9"/>
        <v>4818.2768438293733</v>
      </c>
      <c r="H92">
        <f t="shared" si="9"/>
        <v>9166.7917601238478</v>
      </c>
      <c r="I92">
        <f t="shared" si="9"/>
        <v>12670.83420799176</v>
      </c>
      <c r="J92">
        <f t="shared" si="9"/>
        <v>15525.235187966271</v>
      </c>
      <c r="K92">
        <f t="shared" si="9"/>
        <v>17958.603112279568</v>
      </c>
      <c r="L92">
        <f t="shared" si="9"/>
        <v>20138.2854113699</v>
      </c>
      <c r="M92">
        <f t="shared" si="9"/>
        <v>22187.747011257739</v>
      </c>
      <c r="N92">
        <f t="shared" si="9"/>
        <v>26298.549985837912</v>
      </c>
      <c r="O92">
        <f t="shared" si="9"/>
        <v>31178.877995976054</v>
      </c>
    </row>
    <row r="93" spans="1:15" x14ac:dyDescent="0.25">
      <c r="A93">
        <f t="shared" si="7"/>
        <v>-2.78435194208548E-3</v>
      </c>
      <c r="B93">
        <v>359.15</v>
      </c>
      <c r="C93">
        <f t="shared" si="8"/>
        <v>60174.393177169317</v>
      </c>
      <c r="D93">
        <f t="shared" si="9"/>
        <v>187.11409568662</v>
      </c>
      <c r="E93">
        <f t="shared" si="9"/>
        <v>1295.602874507762</v>
      </c>
      <c r="F93">
        <f t="shared" si="9"/>
        <v>3080.9057018701419</v>
      </c>
      <c r="G93">
        <f t="shared" si="9"/>
        <v>5051.6963779657326</v>
      </c>
      <c r="H93">
        <f t="shared" si="9"/>
        <v>9589.3603639340581</v>
      </c>
      <c r="I93">
        <f t="shared" si="9"/>
        <v>13240.41402945528</v>
      </c>
      <c r="J93">
        <f t="shared" si="9"/>
        <v>16212.335122680217</v>
      </c>
      <c r="K93">
        <f t="shared" si="9"/>
        <v>18744.816369183216</v>
      </c>
      <c r="L93">
        <f t="shared" si="9"/>
        <v>21012.742284095992</v>
      </c>
      <c r="M93">
        <f t="shared" si="9"/>
        <v>23144.940147803543</v>
      </c>
      <c r="N93">
        <f t="shared" si="9"/>
        <v>27421.821818336572</v>
      </c>
      <c r="O93">
        <f t="shared" si="9"/>
        <v>32501.161557104399</v>
      </c>
    </row>
    <row r="94" spans="1:15" x14ac:dyDescent="0.25">
      <c r="A94">
        <f t="shared" si="7"/>
        <v>-2.7766208524226017E-3</v>
      </c>
      <c r="B94">
        <v>360.15</v>
      </c>
      <c r="C94">
        <f t="shared" si="8"/>
        <v>62556.990951439606</v>
      </c>
      <c r="D94">
        <f t="shared" si="9"/>
        <v>198.50397021279068</v>
      </c>
      <c r="E94">
        <f t="shared" si="9"/>
        <v>1364.6274160841956</v>
      </c>
      <c r="F94">
        <f t="shared" si="9"/>
        <v>3234.9135704423675</v>
      </c>
      <c r="G94">
        <f t="shared" si="9"/>
        <v>5294.9155703099259</v>
      </c>
      <c r="H94">
        <f t="shared" si="9"/>
        <v>10028.644207074631</v>
      </c>
      <c r="I94">
        <f t="shared" si="9"/>
        <v>13831.850158763496</v>
      </c>
      <c r="J94">
        <f t="shared" si="9"/>
        <v>16925.309385440753</v>
      </c>
      <c r="K94">
        <f t="shared" si="9"/>
        <v>19560.252156708044</v>
      </c>
      <c r="L94">
        <f t="shared" si="9"/>
        <v>21919.385866007331</v>
      </c>
      <c r="M94">
        <f t="shared" si="9"/>
        <v>24137.096133061434</v>
      </c>
      <c r="N94">
        <f t="shared" si="9"/>
        <v>28585.662257029358</v>
      </c>
      <c r="O94">
        <f t="shared" si="9"/>
        <v>33870.874702734029</v>
      </c>
    </row>
    <row r="95" spans="1:15" x14ac:dyDescent="0.25">
      <c r="A95">
        <f t="shared" si="7"/>
        <v>-2.7689325764917627E-3</v>
      </c>
      <c r="B95">
        <v>361.15</v>
      </c>
      <c r="C95">
        <f t="shared" si="8"/>
        <v>65017.901134043626</v>
      </c>
      <c r="D95">
        <f t="shared" si="9"/>
        <v>210.51788610146048</v>
      </c>
      <c r="E95">
        <f t="shared" si="9"/>
        <v>1436.8958924743974</v>
      </c>
      <c r="F95">
        <f t="shared" si="9"/>
        <v>3395.637426421787</v>
      </c>
      <c r="G95">
        <f t="shared" si="9"/>
        <v>5548.2783860602767</v>
      </c>
      <c r="H95">
        <f t="shared" si="9"/>
        <v>10485.187252979098</v>
      </c>
      <c r="I95">
        <f t="shared" si="9"/>
        <v>14445.82658719575</v>
      </c>
      <c r="J95">
        <f t="shared" si="9"/>
        <v>17664.948263668608</v>
      </c>
      <c r="K95">
        <f t="shared" si="9"/>
        <v>20405.788145472277</v>
      </c>
      <c r="L95">
        <f t="shared" si="9"/>
        <v>22859.170904934694</v>
      </c>
      <c r="M95">
        <f t="shared" si="9"/>
        <v>25165.242176267006</v>
      </c>
      <c r="N95">
        <f t="shared" si="9"/>
        <v>29791.247592208361</v>
      </c>
      <c r="O95">
        <f t="shared" si="9"/>
        <v>35289.385181401369</v>
      </c>
    </row>
    <row r="96" spans="1:15" x14ac:dyDescent="0.25">
      <c r="A96">
        <f t="shared" si="7"/>
        <v>-2.7612867596299878E-3</v>
      </c>
      <c r="B96">
        <v>362.15</v>
      </c>
      <c r="C96">
        <f t="shared" si="8"/>
        <v>67559.119994084598</v>
      </c>
      <c r="D96">
        <f t="shared" si="9"/>
        <v>223.18608082447923</v>
      </c>
      <c r="E96">
        <f t="shared" si="9"/>
        <v>1512.5393026172969</v>
      </c>
      <c r="F96">
        <f t="shared" si="9"/>
        <v>3563.3247007524469</v>
      </c>
      <c r="G96">
        <f t="shared" si="9"/>
        <v>5812.1382766794331</v>
      </c>
      <c r="H96">
        <f t="shared" si="9"/>
        <v>10959.546946879953</v>
      </c>
      <c r="I96">
        <f t="shared" si="9"/>
        <v>15083.043319578825</v>
      </c>
      <c r="J96">
        <f t="shared" si="9"/>
        <v>18432.05989543923</v>
      </c>
      <c r="K96">
        <f t="shared" si="9"/>
        <v>21282.321345519478</v>
      </c>
      <c r="L96">
        <f t="shared" si="9"/>
        <v>23833.072810118483</v>
      </c>
      <c r="M96">
        <f t="shared" si="9"/>
        <v>26230.427419698983</v>
      </c>
      <c r="N96">
        <f t="shared" si="9"/>
        <v>31039.778831636453</v>
      </c>
      <c r="O96">
        <f t="shared" si="9"/>
        <v>36758.089517008208</v>
      </c>
    </row>
    <row r="97" spans="1:15" x14ac:dyDescent="0.25">
      <c r="A97">
        <f t="shared" si="7"/>
        <v>-2.7536830510808208E-3</v>
      </c>
      <c r="B97">
        <v>363.15</v>
      </c>
      <c r="C97">
        <f t="shared" si="8"/>
        <v>70182.677581120894</v>
      </c>
      <c r="D97">
        <f t="shared" si="9"/>
        <v>236.54005570616519</v>
      </c>
      <c r="E97">
        <f t="shared" si="9"/>
        <v>1591.6930080240422</v>
      </c>
      <c r="F97">
        <f t="shared" si="9"/>
        <v>3738.2301262467568</v>
      </c>
      <c r="G97">
        <f t="shared" si="9"/>
        <v>6086.8583598155901</v>
      </c>
      <c r="H97">
        <f t="shared" si="9"/>
        <v>11452.294426734354</v>
      </c>
      <c r="I97">
        <f t="shared" si="9"/>
        <v>15744.216598060713</v>
      </c>
      <c r="J97">
        <f t="shared" si="9"/>
        <v>19227.470500933221</v>
      </c>
      <c r="K97">
        <f t="shared" si="9"/>
        <v>22190.768344192613</v>
      </c>
      <c r="L97">
        <f t="shared" si="9"/>
        <v>24842.087896919871</v>
      </c>
      <c r="M97">
        <f t="shared" si="9"/>
        <v>27333.723191770569</v>
      </c>
      <c r="N97">
        <f t="shared" si="9"/>
        <v>32332.481980631746</v>
      </c>
      <c r="O97">
        <f t="shared" si="9"/>
        <v>38278.413350971423</v>
      </c>
    </row>
    <row r="98" spans="1:15" x14ac:dyDescent="0.25">
      <c r="A98">
        <f t="shared" si="7"/>
        <v>-2.746121103940684E-3</v>
      </c>
      <c r="B98">
        <v>364.15</v>
      </c>
      <c r="C98">
        <f t="shared" si="8"/>
        <v>72890.637906289034</v>
      </c>
      <c r="D98">
        <f t="shared" ref="D98:O107" si="10">ws_direct_ads_p_wT(D$14/100,$B98,$D$3,$D$4,$D$5,$D$7,$D$8,$D$9,$D$10,$D$11,$D$12)</f>
        <v>250.61261979882227</v>
      </c>
      <c r="E98">
        <f t="shared" si="10"/>
        <v>1674.4968441205413</v>
      </c>
      <c r="F98">
        <f t="shared" si="10"/>
        <v>3920.6158928298851</v>
      </c>
      <c r="G98">
        <f t="shared" si="10"/>
        <v>6372.811600657471</v>
      </c>
      <c r="H98">
        <f t="shared" si="10"/>
        <v>11964.014734759787</v>
      </c>
      <c r="I98">
        <f t="shared" si="10"/>
        <v>16430.079125885735</v>
      </c>
      <c r="J98">
        <f t="shared" si="10"/>
        <v>20052.024613458336</v>
      </c>
      <c r="K98">
        <f t="shared" si="10"/>
        <v>23132.065543273166</v>
      </c>
      <c r="L98">
        <f t="shared" si="10"/>
        <v>25887.233630583785</v>
      </c>
      <c r="M98">
        <f t="shared" si="10"/>
        <v>28476.223259042217</v>
      </c>
      <c r="N98">
        <f t="shared" si="10"/>
        <v>33670.608321122709</v>
      </c>
      <c r="O98">
        <f t="shared" si="10"/>
        <v>39851.811784343045</v>
      </c>
    </row>
    <row r="99" spans="1:15" x14ac:dyDescent="0.25">
      <c r="A99">
        <f t="shared" si="7"/>
        <v>-2.738600575106121E-3</v>
      </c>
      <c r="B99">
        <v>365.15</v>
      </c>
      <c r="C99">
        <f t="shared" si="8"/>
        <v>75685.099118056984</v>
      </c>
      <c r="D99">
        <f t="shared" si="10"/>
        <v>265.43793494533315</v>
      </c>
      <c r="E99">
        <f t="shared" si="10"/>
        <v>1761.095233434695</v>
      </c>
      <c r="F99">
        <f t="shared" si="10"/>
        <v>4110.7518045255238</v>
      </c>
      <c r="G99">
        <f t="shared" si="10"/>
        <v>6670.3809947026266</v>
      </c>
      <c r="H99">
        <f t="shared" si="10"/>
        <v>12495.307029543261</v>
      </c>
      <c r="I99">
        <f t="shared" si="10"/>
        <v>17141.380291128156</v>
      </c>
      <c r="J99">
        <f t="shared" si="10"/>
        <v>20906.58530999767</v>
      </c>
      <c r="K99">
        <f t="shared" si="10"/>
        <v>24107.169395339908</v>
      </c>
      <c r="L99">
        <f t="shared" si="10"/>
        <v>26969.548869009068</v>
      </c>
      <c r="M99">
        <f t="shared" si="10"/>
        <v>29659.044077113405</v>
      </c>
      <c r="N99">
        <f t="shared" si="10"/>
        <v>35055.434689642876</v>
      </c>
      <c r="O99">
        <f t="shared" si="10"/>
        <v>41479.769719908865</v>
      </c>
    </row>
    <row r="100" spans="1:15" x14ac:dyDescent="0.25">
      <c r="A100">
        <f t="shared" si="7"/>
        <v>-2.7311211252219036E-3</v>
      </c>
      <c r="B100">
        <v>366.15</v>
      </c>
      <c r="C100">
        <f t="shared" si="8"/>
        <v>78568.193672599766</v>
      </c>
      <c r="D100">
        <f t="shared" si="10"/>
        <v>281.05156205095147</v>
      </c>
      <c r="E100">
        <f t="shared" si="10"/>
        <v>1851.6373006380447</v>
      </c>
      <c r="F100">
        <f t="shared" si="10"/>
        <v>4308.9154381756061</v>
      </c>
      <c r="G100">
        <f t="shared" si="10"/>
        <v>6979.9597519196259</v>
      </c>
      <c r="H100">
        <f t="shared" si="10"/>
        <v>13046.784798689358</v>
      </c>
      <c r="I100">
        <f t="shared" si="10"/>
        <v>17878.886390344545</v>
      </c>
      <c r="J100">
        <f t="shared" si="10"/>
        <v>21792.034441242835</v>
      </c>
      <c r="K100">
        <f t="shared" si="10"/>
        <v>25117.056639306145</v>
      </c>
      <c r="L100">
        <f t="shared" si="10"/>
        <v>28090.094104486343</v>
      </c>
      <c r="M100">
        <f t="shared" si="10"/>
        <v>30883.325040356733</v>
      </c>
      <c r="N100">
        <f t="shared" si="10"/>
        <v>36488.26375424111</v>
      </c>
      <c r="O100">
        <f t="shared" si="10"/>
        <v>43163.802204283696</v>
      </c>
    </row>
    <row r="101" spans="1:15" x14ac:dyDescent="0.25">
      <c r="A101">
        <f t="shared" si="7"/>
        <v>-2.7236824186299877E-3</v>
      </c>
      <c r="B101">
        <v>367.15</v>
      </c>
      <c r="C101">
        <f t="shared" si="8"/>
        <v>81542.088498782337</v>
      </c>
      <c r="D101">
        <f t="shared" si="10"/>
        <v>297.49050858659109</v>
      </c>
      <c r="E101">
        <f t="shared" si="10"/>
        <v>1946.2769894512494</v>
      </c>
      <c r="F101">
        <f t="shared" si="10"/>
        <v>4515.392303886204</v>
      </c>
      <c r="G101">
        <f t="shared" si="10"/>
        <v>7301.9514822839319</v>
      </c>
      <c r="H101">
        <f t="shared" si="10"/>
        <v>13619.07607197134</v>
      </c>
      <c r="I101">
        <f t="shared" si="10"/>
        <v>18643.380852103535</v>
      </c>
      <c r="J101">
        <f t="shared" si="10"/>
        <v>22709.272861069141</v>
      </c>
      <c r="K101">
        <f t="shared" si="10"/>
        <v>26162.72453509258</v>
      </c>
      <c r="L101">
        <f t="shared" si="10"/>
        <v>29249.951704362007</v>
      </c>
      <c r="M101">
        <f t="shared" si="10"/>
        <v>32150.228730455441</v>
      </c>
      <c r="N101">
        <f t="shared" si="10"/>
        <v>37970.424290281138</v>
      </c>
      <c r="O101">
        <f t="shared" si="10"/>
        <v>44905.454770018914</v>
      </c>
    </row>
    <row r="102" spans="1:15" x14ac:dyDescent="0.25">
      <c r="A102">
        <f t="shared" si="7"/>
        <v>-2.7162841233192994E-3</v>
      </c>
      <c r="B102">
        <v>368.15</v>
      </c>
      <c r="C102">
        <f t="shared" si="8"/>
        <v>84608.985157747462</v>
      </c>
      <c r="D102">
        <f t="shared" si="10"/>
        <v>314.79327734618772</v>
      </c>
      <c r="E102">
        <f t="shared" si="10"/>
        <v>2045.1731814230068</v>
      </c>
      <c r="F102">
        <f t="shared" si="10"/>
        <v>4730.4760071920446</v>
      </c>
      <c r="G102">
        <f t="shared" si="10"/>
        <v>7636.7703826679426</v>
      </c>
      <c r="H102">
        <f t="shared" si="10"/>
        <v>14212.823634951857</v>
      </c>
      <c r="I102">
        <f t="shared" si="10"/>
        <v>19435.664460354943</v>
      </c>
      <c r="J102">
        <f t="shared" si="10"/>
        <v>23659.220655413523</v>
      </c>
      <c r="K102">
        <f t="shared" si="10"/>
        <v>27245.191097397317</v>
      </c>
      <c r="L102">
        <f t="shared" si="10"/>
        <v>30450.226150591734</v>
      </c>
      <c r="M102">
        <f t="shared" si="10"/>
        <v>33460.941163711061</v>
      </c>
      <c r="N102">
        <f t="shared" si="10"/>
        <v>39503.271455110487</v>
      </c>
      <c r="O102">
        <f t="shared" si="10"/>
        <v>46706.303777748268</v>
      </c>
    </row>
    <row r="103" spans="1:15" x14ac:dyDescent="0.25">
      <c r="A103">
        <f t="shared" si="7"/>
        <v>-2.7089259108763375E-3</v>
      </c>
      <c r="B103">
        <v>369.15</v>
      </c>
      <c r="C103">
        <f t="shared" si="8"/>
        <v>87771.119997102156</v>
      </c>
      <c r="D103">
        <f t="shared" si="10"/>
        <v>332.99991648089463</v>
      </c>
      <c r="E103">
        <f t="shared" si="10"/>
        <v>2148.4898165914428</v>
      </c>
      <c r="F103">
        <f t="shared" si="10"/>
        <v>4954.4684129317175</v>
      </c>
      <c r="G103">
        <f t="shared" si="10"/>
        <v>7984.841425065365</v>
      </c>
      <c r="H103">
        <f t="shared" si="10"/>
        <v>14828.685243038872</v>
      </c>
      <c r="I103">
        <f t="shared" si="10"/>
        <v>20256.555577599236</v>
      </c>
      <c r="J103">
        <f t="shared" si="10"/>
        <v>24642.817370515288</v>
      </c>
      <c r="K103">
        <f t="shared" si="10"/>
        <v>28365.495328523644</v>
      </c>
      <c r="L103">
        <f t="shared" si="10"/>
        <v>31692.044278146157</v>
      </c>
      <c r="M103">
        <f t="shared" si="10"/>
        <v>34816.672037086959</v>
      </c>
      <c r="N103">
        <f t="shared" si="10"/>
        <v>41088.187061579076</v>
      </c>
      <c r="O103">
        <f t="shared" si="10"/>
        <v>48567.956758397362</v>
      </c>
    </row>
    <row r="104" spans="1:15" x14ac:dyDescent="0.25">
      <c r="A104">
        <f t="shared" si="7"/>
        <v>-2.7016074564365799E-3</v>
      </c>
      <c r="B104">
        <v>370.15</v>
      </c>
      <c r="C104">
        <f t="shared" si="8"/>
        <v>91030.764299705741</v>
      </c>
      <c r="D104">
        <f t="shared" si="10"/>
        <v>352.15207083308928</v>
      </c>
      <c r="E104">
        <f t="shared" si="10"/>
        <v>2256.396016037515</v>
      </c>
      <c r="F104">
        <f t="shared" si="10"/>
        <v>5187.6798108257526</v>
      </c>
      <c r="G104">
        <f t="shared" si="10"/>
        <v>8346.600546130674</v>
      </c>
      <c r="H104">
        <f t="shared" si="10"/>
        <v>15467.333835944226</v>
      </c>
      <c r="I104">
        <f t="shared" si="10"/>
        <v>21106.890367820866</v>
      </c>
      <c r="J104">
        <f t="shared" si="10"/>
        <v>25661.022240482678</v>
      </c>
      <c r="K104">
        <f t="shared" si="10"/>
        <v>29524.697450229731</v>
      </c>
      <c r="L104">
        <f t="shared" si="10"/>
        <v>32976.555512234881</v>
      </c>
      <c r="M104">
        <f t="shared" si="10"/>
        <v>36218.654972957731</v>
      </c>
      <c r="N104">
        <f t="shared" si="10"/>
        <v>42726.579850391863</v>
      </c>
      <c r="O104">
        <f t="shared" si="10"/>
        <v>50492.0527554906</v>
      </c>
    </row>
    <row r="105" spans="1:15" x14ac:dyDescent="0.25">
      <c r="A105">
        <f t="shared" si="7"/>
        <v>-2.6943284386366701E-3</v>
      </c>
      <c r="B105">
        <v>371.15</v>
      </c>
      <c r="C105">
        <f t="shared" si="8"/>
        <v>94390.224427063353</v>
      </c>
      <c r="D105">
        <f t="shared" si="10"/>
        <v>372.2930345934397</v>
      </c>
      <c r="E105">
        <f t="shared" si="10"/>
        <v>2369.0662063393011</v>
      </c>
      <c r="F105">
        <f t="shared" si="10"/>
        <v>5430.4290827499608</v>
      </c>
      <c r="G105">
        <f t="shared" si="10"/>
        <v>8722.4948380142669</v>
      </c>
      <c r="H105">
        <f t="shared" si="10"/>
        <v>16129.457752512537</v>
      </c>
      <c r="I105">
        <f t="shared" si="10"/>
        <v>21987.523019149561</v>
      </c>
      <c r="J105">
        <f t="shared" si="10"/>
        <v>26714.814414148881</v>
      </c>
      <c r="K105">
        <f t="shared" si="10"/>
        <v>30723.879134565108</v>
      </c>
      <c r="L105">
        <f t="shared" si="10"/>
        <v>34304.932104316518</v>
      </c>
      <c r="M105">
        <f t="shared" si="10"/>
        <v>37668.147762535635</v>
      </c>
      <c r="N105">
        <f t="shared" si="10"/>
        <v>44419.885761282589</v>
      </c>
      <c r="O105">
        <f t="shared" si="10"/>
        <v>52480.262667591953</v>
      </c>
    </row>
    <row r="106" spans="1:15" x14ac:dyDescent="0.25">
      <c r="A106">
        <f t="shared" si="7"/>
        <v>-2.6870885395673789E-3</v>
      </c>
      <c r="B106">
        <v>372.15</v>
      </c>
      <c r="C106">
        <f t="shared" si="8"/>
        <v>97851.841957327822</v>
      </c>
      <c r="D106">
        <f t="shared" si="10"/>
        <v>393.46780530441941</v>
      </c>
      <c r="E106">
        <f t="shared" si="10"/>
        <v>2486.6802459362921</v>
      </c>
      <c r="F106">
        <f t="shared" si="10"/>
        <v>5683.0438716956205</v>
      </c>
      <c r="G106">
        <f t="shared" si="10"/>
        <v>9112.9827404739535</v>
      </c>
      <c r="H106">
        <f t="shared" si="10"/>
        <v>16815.760945888029</v>
      </c>
      <c r="I106">
        <f t="shared" si="10"/>
        <v>22899.325966213539</v>
      </c>
      <c r="J106">
        <f t="shared" si="10"/>
        <v>27805.193181181341</v>
      </c>
      <c r="K106">
        <f t="shared" si="10"/>
        <v>31964.143733659163</v>
      </c>
      <c r="L106">
        <f t="shared" si="10"/>
        <v>35678.369366862047</v>
      </c>
      <c r="M106">
        <f t="shared" si="10"/>
        <v>39166.432607945695</v>
      </c>
      <c r="N106">
        <f t="shared" si="10"/>
        <v>46169.568202995957</v>
      </c>
      <c r="O106">
        <f t="shared" si="10"/>
        <v>54534.289590918896</v>
      </c>
    </row>
    <row r="107" spans="1:15" x14ac:dyDescent="0.25">
      <c r="A107">
        <f t="shared" si="7"/>
        <v>-2.6798874447273215E-3</v>
      </c>
      <c r="B107">
        <v>373.15</v>
      </c>
      <c r="C107">
        <f t="shared" si="8"/>
        <v>101417.99381792783</v>
      </c>
      <c r="D107">
        <f t="shared" si="10"/>
        <v>415.72313923399861</v>
      </c>
      <c r="E107">
        <f t="shared" si="10"/>
        <v>2609.4235534128325</v>
      </c>
      <c r="F107">
        <f t="shared" si="10"/>
        <v>5945.8607524094341</v>
      </c>
      <c r="G107">
        <f t="shared" si="10"/>
        <v>9518.5342342444364</v>
      </c>
      <c r="H107">
        <f t="shared" si="10"/>
        <v>17526.963198989692</v>
      </c>
      <c r="I107">
        <f t="shared" si="10"/>
        <v>23843.190112152592</v>
      </c>
      <c r="J107">
        <f t="shared" si="10"/>
        <v>28933.178197412846</v>
      </c>
      <c r="K107">
        <f t="shared" si="10"/>
        <v>33246.616508432046</v>
      </c>
      <c r="L107">
        <f t="shared" si="10"/>
        <v>37098.085906845445</v>
      </c>
      <c r="M107">
        <f t="shared" si="10"/>
        <v>40714.816362927406</v>
      </c>
      <c r="N107">
        <f t="shared" si="10"/>
        <v>47977.118322073489</v>
      </c>
      <c r="O107">
        <f t="shared" si="10"/>
        <v>56655.869162179377</v>
      </c>
    </row>
  </sheetData>
  <mergeCells count="12">
    <mergeCell ref="B2:D2"/>
    <mergeCell ref="B7:C7"/>
    <mergeCell ref="B8:C8"/>
    <mergeCell ref="B9:C9"/>
    <mergeCell ref="B10:C10"/>
    <mergeCell ref="B14:C14"/>
    <mergeCell ref="B3:C3"/>
    <mergeCell ref="B4:C4"/>
    <mergeCell ref="B5:C5"/>
    <mergeCell ref="B6:C6"/>
    <mergeCell ref="B11:C11"/>
    <mergeCell ref="B12:C12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Adsorption - Volumetric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2021-07-14T15:43:10Z</dcterms:modified>
</cp:coreProperties>
</file>