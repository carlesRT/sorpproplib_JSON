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activeTab="4"/>
  </bookViews>
  <sheets>
    <sheet name="Functionality" sheetId="1" r:id="rId1"/>
    <sheet name="Dubinin | Carb &amp; R134-a" sheetId="5" r:id="rId2"/>
    <sheet name="DSS" sheetId="4" r:id="rId3"/>
    <sheet name="Langmuir | Carb &amp; CO2" sheetId="2" r:id="rId4"/>
    <sheet name="Langmuir | Carb &amp;CH4" sheetId="7" r:id="rId5"/>
    <sheet name="Toth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8" i="7" l="1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N12" i="7"/>
  <c r="N10" i="7"/>
  <c r="N8" i="7"/>
  <c r="N6" i="7"/>
  <c r="N5" i="7"/>
  <c r="I17" i="7"/>
  <c r="I15" i="7"/>
  <c r="I13" i="7"/>
  <c r="I11" i="7"/>
  <c r="I9" i="7"/>
  <c r="I7" i="7"/>
  <c r="I5" i="7"/>
  <c r="D17" i="7"/>
  <c r="D15" i="7"/>
  <c r="D13" i="7"/>
  <c r="D11" i="7"/>
  <c r="D9" i="7"/>
  <c r="D7" i="7"/>
  <c r="D5" i="7"/>
  <c r="N18" i="7"/>
  <c r="N17" i="7"/>
  <c r="N16" i="7"/>
  <c r="N15" i="7"/>
  <c r="N14" i="7"/>
  <c r="N13" i="7"/>
  <c r="N11" i="7"/>
  <c r="N9" i="7"/>
  <c r="N7" i="7"/>
  <c r="I18" i="7"/>
  <c r="I16" i="7"/>
  <c r="I14" i="7"/>
  <c r="I12" i="7"/>
  <c r="I10" i="7"/>
  <c r="I8" i="7"/>
  <c r="I6" i="7"/>
  <c r="D18" i="7"/>
  <c r="D16" i="7"/>
  <c r="D14" i="7"/>
  <c r="D12" i="7"/>
  <c r="D10" i="7"/>
  <c r="D8" i="7"/>
  <c r="D6" i="7"/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H29" i="1"/>
  <c r="S18" i="6"/>
  <c r="N18" i="6"/>
  <c r="N19" i="6"/>
  <c r="AR18" i="6"/>
  <c r="AR6" i="6"/>
  <c r="AC5" i="5"/>
  <c r="X8" i="5"/>
  <c r="N11" i="4"/>
  <c r="D17" i="2"/>
  <c r="AR15" i="5"/>
  <c r="I5" i="6"/>
  <c r="AH9" i="6"/>
  <c r="AR10" i="5"/>
  <c r="N7" i="4"/>
  <c r="N9" i="5"/>
  <c r="AM15" i="6"/>
  <c r="AC12" i="6"/>
  <c r="AM6" i="5"/>
  <c r="I18" i="4"/>
  <c r="S9" i="2"/>
  <c r="AC10" i="5"/>
  <c r="AC7" i="6"/>
  <c r="N16" i="4"/>
  <c r="S26" i="6"/>
  <c r="N16" i="6"/>
  <c r="AR12" i="5"/>
  <c r="S16" i="4"/>
  <c r="N6" i="5"/>
  <c r="AW5" i="5"/>
  <c r="S14" i="4"/>
  <c r="AC8" i="6"/>
  <c r="N14" i="5"/>
  <c r="AM17" i="6"/>
  <c r="AH18" i="6"/>
  <c r="X19" i="6"/>
  <c r="X14" i="6"/>
  <c r="AR7" i="6"/>
  <c r="AR8" i="5"/>
  <c r="S17" i="4"/>
  <c r="S6" i="2"/>
  <c r="S17" i="2"/>
  <c r="I13" i="4"/>
  <c r="N9" i="6"/>
  <c r="X10" i="5"/>
  <c r="AC13" i="5"/>
  <c r="D19" i="4"/>
  <c r="N15" i="4"/>
  <c r="X8" i="6"/>
  <c r="AC15" i="5"/>
  <c r="AC8" i="5"/>
  <c r="D15" i="4"/>
  <c r="AR14" i="6"/>
  <c r="I7" i="5"/>
  <c r="N8" i="6"/>
  <c r="AM12" i="6"/>
  <c r="AM16" i="6"/>
  <c r="X20" i="6"/>
  <c r="AM11" i="5"/>
  <c r="D6" i="4"/>
  <c r="I7" i="4"/>
  <c r="AW6" i="6"/>
  <c r="S10" i="4"/>
  <c r="AW7" i="6"/>
  <c r="AH20" i="6"/>
  <c r="S15" i="6"/>
  <c r="S14" i="2"/>
  <c r="N8" i="5"/>
  <c r="S6" i="5"/>
  <c r="D14" i="2"/>
  <c r="S11" i="2"/>
  <c r="I15" i="6"/>
  <c r="N14" i="6"/>
  <c r="I17" i="2"/>
  <c r="AM14" i="5"/>
  <c r="D7" i="6"/>
  <c r="D9" i="4"/>
  <c r="N17" i="4"/>
  <c r="S21" i="6"/>
  <c r="D10" i="6"/>
  <c r="I14" i="2"/>
  <c r="I8" i="5"/>
  <c r="I6" i="6"/>
  <c r="D18" i="4"/>
  <c r="I14" i="4"/>
  <c r="AW16" i="6"/>
  <c r="S11" i="6"/>
  <c r="S5" i="2"/>
  <c r="AR9" i="5"/>
  <c r="AR11" i="5"/>
  <c r="N11" i="2"/>
  <c r="D9" i="2"/>
  <c r="H28" i="1"/>
  <c r="H39" i="1"/>
  <c r="H21" i="1"/>
  <c r="AM7" i="6"/>
  <c r="H30" i="1"/>
  <c r="AR19" i="6"/>
  <c r="X18" i="6"/>
  <c r="X16" i="6"/>
  <c r="AH17" i="6"/>
  <c r="X9" i="6"/>
  <c r="AW6" i="5"/>
  <c r="S11" i="5"/>
  <c r="N12" i="2"/>
  <c r="I15" i="2"/>
  <c r="I12" i="4"/>
  <c r="AW12" i="6"/>
  <c r="AH6" i="5"/>
  <c r="AH11" i="5"/>
  <c r="N6" i="4"/>
  <c r="N9" i="4"/>
  <c r="AW11" i="6"/>
  <c r="AM13" i="5"/>
  <c r="AH14" i="5"/>
  <c r="I17" i="4"/>
  <c r="D7" i="2"/>
  <c r="AM10" i="5"/>
  <c r="AM11" i="6"/>
  <c r="AM13" i="6"/>
  <c r="AC20" i="6"/>
  <c r="X12" i="6"/>
  <c r="AH12" i="5"/>
  <c r="N15" i="2"/>
  <c r="D5" i="4"/>
  <c r="AW12" i="5"/>
  <c r="D11" i="2"/>
  <c r="AH8" i="6"/>
  <c r="D6" i="5"/>
  <c r="AC19" i="6"/>
  <c r="I10" i="6"/>
  <c r="S20" i="6"/>
  <c r="I7" i="6"/>
  <c r="S7" i="6"/>
  <c r="N10" i="5"/>
  <c r="D10" i="4"/>
  <c r="S18" i="2"/>
  <c r="D8" i="2"/>
  <c r="N18" i="2"/>
  <c r="D9" i="6"/>
  <c r="N5" i="5"/>
  <c r="AM12" i="5"/>
  <c r="N7" i="2"/>
  <c r="I7" i="2"/>
  <c r="S10" i="6"/>
  <c r="X14" i="5"/>
  <c r="AC14" i="5"/>
  <c r="S15" i="2"/>
  <c r="AC14" i="6"/>
  <c r="D11" i="4"/>
  <c r="AM8" i="5"/>
  <c r="S30" i="6"/>
  <c r="I14" i="6"/>
  <c r="AC5" i="6"/>
  <c r="AM5" i="5"/>
  <c r="N10" i="2"/>
  <c r="AW15" i="6"/>
  <c r="S10" i="5"/>
  <c r="I16" i="4"/>
  <c r="AH5" i="6"/>
  <c r="D11" i="6"/>
  <c r="AC12" i="5"/>
  <c r="I6" i="2"/>
  <c r="N9" i="2"/>
  <c r="AM15" i="5"/>
  <c r="I12" i="2"/>
  <c r="AH7" i="6"/>
  <c r="S28" i="6"/>
  <c r="AC10" i="6"/>
  <c r="AR6" i="5"/>
  <c r="S13" i="4"/>
  <c r="AM9" i="5"/>
  <c r="N5" i="2"/>
  <c r="AR12" i="6"/>
  <c r="N15" i="6"/>
  <c r="AH9" i="5"/>
  <c r="AH5" i="5"/>
  <c r="S12" i="4"/>
  <c r="D10" i="5"/>
  <c r="I11" i="2"/>
  <c r="AR10" i="6"/>
  <c r="AM18" i="6"/>
  <c r="S7" i="5"/>
  <c r="D12" i="4"/>
  <c r="S11" i="4"/>
  <c r="AW13" i="5"/>
  <c r="N17" i="2"/>
  <c r="H48" i="1"/>
  <c r="D7" i="5"/>
  <c r="AC16" i="6"/>
  <c r="AC17" i="6"/>
  <c r="I11" i="6"/>
  <c r="AM8" i="6"/>
  <c r="AH10" i="6"/>
  <c r="S13" i="5"/>
  <c r="D8" i="4"/>
  <c r="D15" i="2"/>
  <c r="I13" i="2"/>
  <c r="I18" i="2"/>
  <c r="AM10" i="6"/>
  <c r="AH10" i="5"/>
  <c r="D5" i="2"/>
  <c r="S8" i="2"/>
  <c r="N14" i="2"/>
  <c r="S12" i="6"/>
  <c r="I5" i="5"/>
  <c r="AW14" i="5"/>
  <c r="D13" i="2"/>
  <c r="N11" i="6"/>
  <c r="I9" i="4"/>
  <c r="D8" i="6"/>
  <c r="D5" i="5"/>
  <c r="S29" i="6"/>
  <c r="AW13" i="6"/>
  <c r="AW9" i="5"/>
  <c r="S7" i="2"/>
  <c r="S9" i="6"/>
  <c r="AW7" i="5"/>
  <c r="S8" i="5"/>
  <c r="N5" i="6"/>
  <c r="S24" i="6"/>
  <c r="S25" i="6"/>
  <c r="S31" i="6"/>
  <c r="S23" i="6"/>
  <c r="AC6" i="6"/>
  <c r="AW10" i="5"/>
  <c r="AR14" i="5"/>
  <c r="D7" i="4"/>
  <c r="D18" i="2"/>
  <c r="X7" i="5"/>
  <c r="AW9" i="6"/>
  <c r="AM9" i="6"/>
  <c r="X6" i="5"/>
  <c r="I6" i="4"/>
  <c r="AW10" i="6"/>
  <c r="AC9" i="6"/>
  <c r="AH12" i="6"/>
  <c r="X12" i="5"/>
  <c r="D17" i="4"/>
  <c r="S16" i="2"/>
  <c r="I8" i="6"/>
  <c r="S12" i="2"/>
  <c r="X13" i="5"/>
  <c r="X17" i="6"/>
  <c r="AR17" i="6"/>
  <c r="S13" i="6"/>
  <c r="N13" i="4"/>
  <c r="I10" i="2"/>
  <c r="S8" i="6"/>
  <c r="S9" i="5"/>
  <c r="X11" i="5"/>
  <c r="AW8" i="6"/>
  <c r="AC18" i="6"/>
  <c r="I11" i="4"/>
  <c r="AM14" i="6"/>
  <c r="S10" i="2"/>
  <c r="S8" i="4"/>
  <c r="AH6" i="6"/>
  <c r="AR13" i="5"/>
  <c r="S16" i="6"/>
  <c r="AH8" i="5"/>
  <c r="AR13" i="6"/>
  <c r="N6" i="2"/>
  <c r="S12" i="5"/>
  <c r="I9" i="6"/>
  <c r="AH11" i="6"/>
  <c r="S34" i="6"/>
  <c r="AC7" i="5"/>
  <c r="AM6" i="6"/>
  <c r="AW11" i="5"/>
  <c r="N7" i="5"/>
  <c r="AW5" i="6"/>
  <c r="S5" i="6"/>
  <c r="AM20" i="6"/>
  <c r="AR5" i="5"/>
  <c r="AM5" i="6"/>
  <c r="S9" i="4"/>
  <c r="I6" i="5"/>
  <c r="AR9" i="6"/>
  <c r="N11" i="5"/>
  <c r="H43" i="1"/>
  <c r="H16" i="1"/>
  <c r="H23" i="1"/>
  <c r="B21" i="1"/>
  <c r="H17" i="1"/>
  <c r="H40" i="1"/>
  <c r="H45" i="1"/>
  <c r="H20" i="1"/>
  <c r="H31" i="1"/>
  <c r="I12" i="6"/>
  <c r="S19" i="6"/>
  <c r="S32" i="6"/>
  <c r="S33" i="6"/>
  <c r="N10" i="6"/>
  <c r="N7" i="6"/>
  <c r="D8" i="5"/>
  <c r="I10" i="4"/>
  <c r="D16" i="2"/>
  <c r="AH15" i="5"/>
  <c r="AR11" i="6"/>
  <c r="AH13" i="6"/>
  <c r="AH13" i="5"/>
  <c r="N8" i="4"/>
  <c r="D12" i="2"/>
  <c r="X11" i="6"/>
  <c r="X5" i="6"/>
  <c r="AC11" i="5"/>
  <c r="I19" i="4"/>
  <c r="N13" i="2"/>
  <c r="D5" i="6"/>
  <c r="N8" i="2"/>
  <c r="D6" i="2"/>
  <c r="N17" i="6"/>
  <c r="AH19" i="6"/>
  <c r="N6" i="6"/>
  <c r="D9" i="5"/>
  <c r="I16" i="2"/>
  <c r="X7" i="6"/>
  <c r="N12" i="5"/>
  <c r="AC15" i="6"/>
  <c r="AR7" i="5"/>
  <c r="S27" i="6"/>
  <c r="AR16" i="6"/>
  <c r="AW17" i="6"/>
  <c r="AM19" i="6"/>
  <c r="X15" i="6"/>
  <c r="S14" i="5"/>
  <c r="N13" i="5"/>
  <c r="I8" i="4"/>
  <c r="I9" i="2"/>
  <c r="I15" i="4"/>
  <c r="N13" i="6"/>
  <c r="D6" i="6"/>
  <c r="AC9" i="5"/>
  <c r="I5" i="4"/>
  <c r="AW8" i="5"/>
  <c r="N12" i="6"/>
  <c r="AR8" i="6"/>
  <c r="S15" i="5"/>
  <c r="D16" i="4"/>
  <c r="S13" i="2"/>
  <c r="X15" i="5"/>
  <c r="AH14" i="6"/>
  <c r="I8" i="2"/>
  <c r="I13" i="6"/>
  <c r="S22" i="6"/>
  <c r="AW14" i="6"/>
  <c r="D14" i="4"/>
  <c r="AR15" i="6"/>
  <c r="X6" i="6"/>
  <c r="S5" i="5"/>
  <c r="S5" i="4"/>
  <c r="X5" i="5"/>
  <c r="X10" i="6"/>
  <c r="I5" i="2"/>
  <c r="I9" i="5"/>
  <c r="S14" i="6"/>
  <c r="S6" i="4"/>
  <c r="AH7" i="5"/>
  <c r="N16" i="2"/>
  <c r="S17" i="6"/>
  <c r="N12" i="4"/>
  <c r="AR5" i="6"/>
  <c r="X13" i="6"/>
  <c r="N5" i="4"/>
  <c r="AC11" i="6"/>
  <c r="X9" i="5"/>
  <c r="AW18" i="6"/>
  <c r="S15" i="4"/>
  <c r="AC13" i="6"/>
  <c r="S6" i="6"/>
  <c r="S7" i="4"/>
  <c r="AW15" i="5"/>
  <c r="D13" i="4"/>
  <c r="AH16" i="6"/>
  <c r="N14" i="4"/>
  <c r="AM7" i="5"/>
  <c r="AH15" i="6"/>
  <c r="N10" i="4"/>
  <c r="AC6" i="5"/>
  <c r="D10" i="2"/>
  <c r="H44" i="1"/>
  <c r="B16" i="1"/>
  <c r="B25" i="1"/>
  <c r="B20" i="1"/>
  <c r="H22" i="1"/>
  <c r="H25" i="1"/>
  <c r="H41" i="1"/>
  <c r="H46" i="1"/>
  <c r="H18" i="1"/>
  <c r="B17" i="1"/>
  <c r="B22" i="1"/>
  <c r="B18" i="1"/>
  <c r="B23" i="1"/>
  <c r="H33" i="1" l="1"/>
  <c r="H36" i="1"/>
  <c r="H34" i="1"/>
  <c r="H35" i="1"/>
  <c r="H37" i="1"/>
</calcChain>
</file>

<file path=xl/sharedStrings.xml><?xml version="1.0" encoding="utf-8"?>
<sst xmlns="http://schemas.openxmlformats.org/spreadsheetml/2006/main" count="512" uniqueCount="122">
  <si>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</si>
  <si>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</si>
  <si>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</si>
  <si>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</si>
  <si>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</si>
  <si>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</si>
  <si>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</si>
  <si>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</si>
  <si>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</si>
  <si>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</si>
  <si>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</si>
  <si>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</si>
  <si>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</si>
  <si>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</si>
  <si>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</si>
  <si>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</si>
  <si>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</si>
  <si>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</si>
  <si>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</si>
  <si>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</si>
  <si>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</si>
  <si>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</si>
  <si>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</si>
  <si>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</si>
  <si>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</si>
  <si>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</si>
  <si>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</si>
  <si>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</si>
  <si>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 348.3 K</t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</si>
  <si>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</si>
  <si>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</si>
  <si>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</si>
  <si>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</si>
  <si>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</si>
  <si>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</si>
  <si>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</si>
  <si>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</si>
  <si>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</si>
  <si>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</si>
  <si>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</si>
  <si>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</si>
  <si>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</si>
  <si>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</si>
  <si>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</si>
  <si>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</si>
  <si>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</si>
  <si>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</si>
  <si>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</si>
  <si>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</si>
  <si>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</si>
  <si>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</si>
  <si>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</si>
  <si>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</si>
  <si>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</si>
  <si>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</si>
  <si>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</si>
  <si>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</si>
  <si>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</si>
  <si>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</si>
  <si>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</si>
  <si>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</si>
  <si>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</si>
  <si>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</si>
  <si>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</si>
  <si>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</si>
  <si>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</si>
  <si>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</si>
  <si>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</si>
  <si>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</si>
  <si>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</si>
  <si>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 xml:space="preserve"> Exp | T = 248.15 K</t>
  </si>
  <si>
    <t>Fit  | T = 248.15 K</t>
  </si>
  <si>
    <t xml:space="preserve"> Exp | T = 273.15 K</t>
  </si>
  <si>
    <t>Fit  | T =  273.15 K</t>
  </si>
  <si>
    <t xml:space="preserve"> Exp | T = 298.15 K</t>
  </si>
  <si>
    <t>Fit  | T = 298.15 K</t>
  </si>
  <si>
    <t xml:space="preserve"> Exp | T = 323.15 K</t>
  </si>
  <si>
    <t>Fit  | T = 323.15 K</t>
  </si>
  <si>
    <t xml:space="preserve"> Exp | T = 348.15 K</t>
  </si>
  <si>
    <t>Fit  | T = 348.15 K</t>
  </si>
  <si>
    <t xml:space="preserve"> Exp | T = 373.15 K</t>
  </si>
  <si>
    <t>Fit  | T = 373.15 K</t>
  </si>
  <si>
    <t xml:space="preserve"> Exp | T = 398.15 K</t>
  </si>
  <si>
    <t>Fit  | T = 368.15 K</t>
  </si>
  <si>
    <t xml:space="preserve"> Exp | T = 423.15 K</t>
  </si>
  <si>
    <t>Fit  | T = 423.15 K</t>
  </si>
  <si>
    <t xml:space="preserve"> Exp | T = 448.15 K</t>
  </si>
  <si>
    <t>Fit  | T = 448.15 K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</si>
  <si>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</si>
  <si>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</si>
  <si>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</si>
  <si>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</si>
  <si>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</si>
  <si>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</si>
  <si>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</si>
  <si>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</si>
  <si>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</si>
  <si>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</si>
  <si>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</si>
  <si>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</si>
  <si>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</si>
  <si>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</si>
  <si>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</si>
  <si>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</si>
  <si>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</si>
  <si>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</si>
  <si>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</si>
  <si>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</si>
  <si>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</si>
  <si>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</si>
  <si>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</si>
  <si>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</si>
  <si>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</si>
  <si>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</si>
  <si>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</si>
  <si>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</si>
  <si>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</si>
  <si>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</si>
  <si>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</si>
  <si>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r>
      <t xml:space="preserve">Measured equlibrium propertiers of working pair "Carbon Maxsorb-III / R134a".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</si>
  <si>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Measured equlibrium propertiers of working pair "Carbon Norit-rb1 / CH4".
Daten taken from: Rick van der Vaar et al. Single and Mixed Gas Adsorption Equilibria of Carbon Dioxide/Methane on Activated Carbon. Adsorption 2000. 6: p. 311-323.</t>
  </si>
  <si>
    <t>methane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</si>
</sst>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| Carb &amp; R134-a'!$A$2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| Carb &amp; R134-a'!$A$5:$A$19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&amp; R134-a'!$C$5:$C$19</c:f>
              <c:numCache>
                <c:formatCode>0.0000</c:formatCode>
                <c:ptCount val="15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| Carb &amp; R134-a'!$F$2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&amp; R134-a'!$F$5:$F$19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&amp; R134-a'!$H$5:$H$19</c:f>
              <c:numCache>
                <c:formatCode>0.0000</c:formatCode>
                <c:ptCount val="15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| Carb &amp; R134-a'!$K$2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| Carb &amp; R134-a'!$K$5:$K$19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&amp; R134-a'!$M$5:$M$19</c:f>
              <c:numCache>
                <c:formatCode>0.0000</c:formatCode>
                <c:ptCount val="15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| Carb &amp; R134-a'!$P$2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| Carb &amp; R134-a'!$P$5:$P$19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&amp; R134-a'!$R$5:$R$19</c:f>
              <c:numCache>
                <c:formatCode>0.0000</c:formatCode>
                <c:ptCount val="15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| Carb &amp; R134-a'!$U$2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| Carb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&amp; R134-a'!$W$5:$W$15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| Carb &amp; R134-a'!$Z$2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| Carb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&amp; R134-a'!$AB$5:$AB$15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| Carb &amp; R134-a'!$AE$2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| Carb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&amp; R134-a'!$AG$5:$AG$15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| Carb &amp; R134-a'!$AJ$2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&amp; R134-a'!$AL$5:$AL$15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| Carb &amp; R134-a'!$AO$2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&amp; R134-a'!$AQ$5:$AQ$15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| Carb &amp; R134-a'!$AT$2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&amp; R134-a'!$AV$5:$AV$15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| Carb &amp; R134-a'!$D$2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&amp; R134-a'!$D$5:$D$19</c:f>
              <c:numCache>
                <c:formatCode>0.0000</c:formatCode>
                <c:ptCount val="15"/>
                <c:pt idx="0">
                  <c:v>0.91800516082084427</c:v>
                </c:pt>
                <c:pt idx="1">
                  <c:v>1.3804777591856208</c:v>
                </c:pt>
                <c:pt idx="2">
                  <c:v>1.7263688936889892</c:v>
                </c:pt>
                <c:pt idx="3">
                  <c:v>1.949304323027691</c:v>
                </c:pt>
                <c:pt idx="4">
                  <c:v>2.1222162198922225</c:v>
                </c:pt>
                <c:pt idx="5">
                  <c:v>2.1758936048408004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| Carb &amp; R134-a'!$I$2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&amp; R134-a'!$I$5:$I$19</c:f>
              <c:numCache>
                <c:formatCode>0.0000</c:formatCode>
                <c:ptCount val="15"/>
                <c:pt idx="0">
                  <c:v>1.1795385418571682</c:v>
                </c:pt>
                <c:pt idx="1">
                  <c:v>1.63763193181705</c:v>
                </c:pt>
                <c:pt idx="2">
                  <c:v>1.9844465875094048</c:v>
                </c:pt>
                <c:pt idx="3">
                  <c:v>2.1478637567579364</c:v>
                </c:pt>
                <c:pt idx="4">
                  <c:v>2.1883498487246862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| Carb &amp; R134-a'!$N$2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&amp; R134-a'!$N$5:$N$19</c:f>
              <c:numCache>
                <c:formatCode>0.0000</c:formatCode>
                <c:ptCount val="15"/>
                <c:pt idx="0">
                  <c:v>1.0211459682800448</c:v>
                </c:pt>
                <c:pt idx="1">
                  <c:v>1.2371409493759764</c:v>
                </c:pt>
                <c:pt idx="2">
                  <c:v>1.4126693556443231</c:v>
                </c:pt>
                <c:pt idx="3">
                  <c:v>1.5681732153342924</c:v>
                </c:pt>
                <c:pt idx="4">
                  <c:v>1.6916318954205896</c:v>
                </c:pt>
                <c:pt idx="5">
                  <c:v>1.7973459910137579</c:v>
                </c:pt>
                <c:pt idx="6">
                  <c:v>1.8993872943804757</c:v>
                </c:pt>
                <c:pt idx="7">
                  <c:v>1.9862180639920146</c:v>
                </c:pt>
                <c:pt idx="8">
                  <c:v>2.0601434073816844</c:v>
                </c:pt>
                <c:pt idx="9">
                  <c:v>2.1315314291805803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| Carb &amp; R134-a'!$S$2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&amp; R134-a'!$S$5:$S$19</c:f>
              <c:numCache>
                <c:formatCode>0.0000</c:formatCode>
                <c:ptCount val="15"/>
                <c:pt idx="0">
                  <c:v>0.99818127454877248</c:v>
                </c:pt>
                <c:pt idx="1">
                  <c:v>1.1810358738921614</c:v>
                </c:pt>
                <c:pt idx="2">
                  <c:v>1.3452664936532306</c:v>
                </c:pt>
                <c:pt idx="3">
                  <c:v>1.4937606558715772</c:v>
                </c:pt>
                <c:pt idx="4">
                  <c:v>1.618555284805471</c:v>
                </c:pt>
                <c:pt idx="5">
                  <c:v>1.7260119765167399</c:v>
                </c:pt>
                <c:pt idx="6">
                  <c:v>1.826746029167535</c:v>
                </c:pt>
                <c:pt idx="7">
                  <c:v>1.9141576593703891</c:v>
                </c:pt>
                <c:pt idx="8">
                  <c:v>1.9927472116884144</c:v>
                </c:pt>
                <c:pt idx="9">
                  <c:v>2.0704904969689455</c:v>
                </c:pt>
                <c:pt idx="10">
                  <c:v>2.1267965305600933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| Carb &amp; R134-a'!$X$2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&amp; R134-a'!$X$5:$X$15</c:f>
              <c:numCache>
                <c:formatCode>0.0000</c:formatCode>
                <c:ptCount val="11"/>
                <c:pt idx="0">
                  <c:v>0.89663110299708904</c:v>
                </c:pt>
                <c:pt idx="1">
                  <c:v>1.0547924113105995</c:v>
                </c:pt>
                <c:pt idx="2">
                  <c:v>1.2226363190148235</c:v>
                </c:pt>
                <c:pt idx="3">
                  <c:v>1.3614714694194943</c:v>
                </c:pt>
                <c:pt idx="4">
                  <c:v>1.4851354790823246</c:v>
                </c:pt>
                <c:pt idx="5">
                  <c:v>1.5890007264130861</c:v>
                </c:pt>
                <c:pt idx="6">
                  <c:v>1.684807528624811</c:v>
                </c:pt>
                <c:pt idx="7">
                  <c:v>1.7760270938234985</c:v>
                </c:pt>
                <c:pt idx="8">
                  <c:v>1.8595006400067697</c:v>
                </c:pt>
                <c:pt idx="9">
                  <c:v>1.935671158030392</c:v>
                </c:pt>
                <c:pt idx="10">
                  <c:v>2.0012201686860442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| Carb &amp; R134-a'!$AC$2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&amp; R134-a'!$AC$5:$AC$15</c:f>
              <c:numCache>
                <c:formatCode>0.0000</c:formatCode>
                <c:ptCount val="11"/>
                <c:pt idx="0">
                  <c:v>0.82028796698910023</c:v>
                </c:pt>
                <c:pt idx="1">
                  <c:v>0.96091574876885855</c:v>
                </c:pt>
                <c:pt idx="2">
                  <c:v>1.1063475827393829</c:v>
                </c:pt>
                <c:pt idx="3">
                  <c:v>1.235546204064466</c:v>
                </c:pt>
                <c:pt idx="4">
                  <c:v>1.3483117207237536</c:v>
                </c:pt>
                <c:pt idx="5">
                  <c:v>1.4523141737433982</c:v>
                </c:pt>
                <c:pt idx="6">
                  <c:v>1.5518086090280245</c:v>
                </c:pt>
                <c:pt idx="7">
                  <c:v>1.6383259331066795</c:v>
                </c:pt>
                <c:pt idx="8">
                  <c:v>1.7217048105511263</c:v>
                </c:pt>
                <c:pt idx="9">
                  <c:v>1.803394248627656</c:v>
                </c:pt>
                <c:pt idx="10">
                  <c:v>1.869436048145722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| Carb &amp; R134-a'!$AH$2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&amp; R134-a'!$AH$5:$AH$15</c:f>
              <c:numCache>
                <c:formatCode>0.0000</c:formatCode>
                <c:ptCount val="11"/>
                <c:pt idx="0">
                  <c:v>0.73704423119085993</c:v>
                </c:pt>
                <c:pt idx="1">
                  <c:v>0.86430778528153185</c:v>
                </c:pt>
                <c:pt idx="2">
                  <c:v>0.99702973868085765</c:v>
                </c:pt>
                <c:pt idx="3">
                  <c:v>1.1123461984951926</c:v>
                </c:pt>
                <c:pt idx="4">
                  <c:v>1.2302813499000946</c:v>
                </c:pt>
                <c:pt idx="5">
                  <c:v>1.3248861387277013</c:v>
                </c:pt>
                <c:pt idx="6">
                  <c:v>1.4171232959716309</c:v>
                </c:pt>
                <c:pt idx="7">
                  <c:v>1.5064050112346714</c:v>
                </c:pt>
                <c:pt idx="8">
                  <c:v>1.5878140689571221</c:v>
                </c:pt>
                <c:pt idx="9">
                  <c:v>1.6685626448986202</c:v>
                </c:pt>
                <c:pt idx="10">
                  <c:v>1.7368482504152472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| Carb &amp; R134-a'!$AM$2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&amp; R134-a'!$AM$5:$AM$15</c:f>
              <c:numCache>
                <c:formatCode>0.0000</c:formatCode>
                <c:ptCount val="11"/>
                <c:pt idx="0">
                  <c:v>0.652162106146979</c:v>
                </c:pt>
                <c:pt idx="1">
                  <c:v>0.77404151689892309</c:v>
                </c:pt>
                <c:pt idx="2">
                  <c:v>0.89495759500844252</c:v>
                </c:pt>
                <c:pt idx="3">
                  <c:v>1.0015268617314748</c:v>
                </c:pt>
                <c:pt idx="4">
                  <c:v>1.1044985264464924</c:v>
                </c:pt>
                <c:pt idx="5">
                  <c:v>1.2007397389277215</c:v>
                </c:pt>
                <c:pt idx="6">
                  <c:v>1.2912350625683342</c:v>
                </c:pt>
                <c:pt idx="7">
                  <c:v>1.3742882871407036</c:v>
                </c:pt>
                <c:pt idx="8">
                  <c:v>1.4575209376170504</c:v>
                </c:pt>
                <c:pt idx="9">
                  <c:v>1.5322500333300926</c:v>
                </c:pt>
                <c:pt idx="10">
                  <c:v>1.6068724413172712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| Carb &amp; R134-a'!$AR$2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&amp; R134-a'!$AR$5:$AR$15</c:f>
              <c:numCache>
                <c:formatCode>0.0000</c:formatCode>
                <c:ptCount val="11"/>
                <c:pt idx="0">
                  <c:v>0.57465115969390512</c:v>
                </c:pt>
                <c:pt idx="1">
                  <c:v>0.69023227878060067</c:v>
                </c:pt>
                <c:pt idx="2">
                  <c:v>0.79607405736918302</c:v>
                </c:pt>
                <c:pt idx="3">
                  <c:v>0.90174086971469636</c:v>
                </c:pt>
                <c:pt idx="4">
                  <c:v>0.99684761935850563</c:v>
                </c:pt>
                <c:pt idx="5">
                  <c:v>1.0838537139916486</c:v>
                </c:pt>
                <c:pt idx="6">
                  <c:v>1.1668128574027494</c:v>
                </c:pt>
                <c:pt idx="7">
                  <c:v>1.248339924377847</c:v>
                </c:pt>
                <c:pt idx="8">
                  <c:v>1.3320678375829946</c:v>
                </c:pt>
                <c:pt idx="9">
                  <c:v>1.4039936630453942</c:v>
                </c:pt>
                <c:pt idx="10">
                  <c:v>1.4730546835501064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| Carb &amp; R134-a'!$AW$2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&amp; R134-a'!$AW$5:$AW$15</c:f>
              <c:numCache>
                <c:formatCode>0.0000</c:formatCode>
                <c:ptCount val="11"/>
                <c:pt idx="0">
                  <c:v>0.50907483474775539</c:v>
                </c:pt>
                <c:pt idx="1">
                  <c:v>0.60440679229401806</c:v>
                </c:pt>
                <c:pt idx="2">
                  <c:v>0.70520965021366422</c:v>
                </c:pt>
                <c:pt idx="3">
                  <c:v>0.79913138480136336</c:v>
                </c:pt>
                <c:pt idx="4">
                  <c:v>0.89044999758527832</c:v>
                </c:pt>
                <c:pt idx="5">
                  <c:v>0.97426276757082375</c:v>
                </c:pt>
                <c:pt idx="6">
                  <c:v>1.0543094003663374</c:v>
                </c:pt>
                <c:pt idx="7">
                  <c:v>1.1310175875245836</c:v>
                </c:pt>
                <c:pt idx="8">
                  <c:v>1.2046957959436675</c:v>
                </c:pt>
                <c:pt idx="9">
                  <c:v>1.2806485990125962</c:v>
                </c:pt>
                <c:pt idx="10">
                  <c:v>1.3469435864223243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DSS!$A$2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DSS!$A$5:$A$19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DSS!$C$5:$C$19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DSS!$F$2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DSS!$F$5:$F$19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DSS!$H$5:$H$19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DSS!$K$2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DSS!$K$5:$K$19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DSS!$M$5:$M$19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DSS!$P$2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DSS!$P$5:$P$19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DSS!$R$5:$R$19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DSS!$D$2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DSS!$A$5:$A$19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DSS!$D$5:$D$19</c:f>
              <c:numCache>
                <c:formatCode>0.0000</c:formatCode>
                <c:ptCount val="15"/>
                <c:pt idx="0">
                  <c:v>1.51728024635255E-2</c:v>
                </c:pt>
                <c:pt idx="1">
                  <c:v>4.5880431369203702E-2</c:v>
                </c:pt>
                <c:pt idx="2">
                  <c:v>9.5218909084246156E-2</c:v>
                </c:pt>
                <c:pt idx="3">
                  <c:v>0.13493324084128461</c:v>
                </c:pt>
                <c:pt idx="4">
                  <c:v>0.17149377970285895</c:v>
                </c:pt>
                <c:pt idx="5">
                  <c:v>0.20404845292245755</c:v>
                </c:pt>
                <c:pt idx="6">
                  <c:v>0.23119744097240069</c:v>
                </c:pt>
                <c:pt idx="7">
                  <c:v>0.25244748991387062</c:v>
                </c:pt>
                <c:pt idx="8">
                  <c:v>0.26450905452550355</c:v>
                </c:pt>
                <c:pt idx="9">
                  <c:v>0.27493494082085046</c:v>
                </c:pt>
                <c:pt idx="10">
                  <c:v>0.28348778674517711</c:v>
                </c:pt>
                <c:pt idx="11">
                  <c:v>0.28945848303724797</c:v>
                </c:pt>
                <c:pt idx="12">
                  <c:v>0.2945738191700657</c:v>
                </c:pt>
                <c:pt idx="13">
                  <c:v>0.29775124626499389</c:v>
                </c:pt>
                <c:pt idx="14">
                  <c:v>0.30056515884981644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DSS!$I$2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DSS!$F$5:$F$19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DSS!$I$5:$I$19</c:f>
              <c:numCache>
                <c:formatCode>0.0000</c:formatCode>
                <c:ptCount val="15"/>
                <c:pt idx="0">
                  <c:v>6.8836427932506897E-3</c:v>
                </c:pt>
                <c:pt idx="1">
                  <c:v>1.7630994301599617E-2</c:v>
                </c:pt>
                <c:pt idx="2">
                  <c:v>3.1717563226366541E-2</c:v>
                </c:pt>
                <c:pt idx="3">
                  <c:v>4.9488371912536598E-2</c:v>
                </c:pt>
                <c:pt idx="4">
                  <c:v>6.4918574607311527E-2</c:v>
                </c:pt>
                <c:pt idx="5">
                  <c:v>8.8997107027412189E-2</c:v>
                </c:pt>
                <c:pt idx="6">
                  <c:v>0.12545500813520397</c:v>
                </c:pt>
                <c:pt idx="7">
                  <c:v>0.18490221341223689</c:v>
                </c:pt>
                <c:pt idx="8">
                  <c:v>0.2050027359960292</c:v>
                </c:pt>
                <c:pt idx="9">
                  <c:v>0.21778484946188911</c:v>
                </c:pt>
                <c:pt idx="10">
                  <c:v>0.23292384451356313</c:v>
                </c:pt>
                <c:pt idx="11">
                  <c:v>0.2452371949082422</c:v>
                </c:pt>
                <c:pt idx="12">
                  <c:v>0.25725372932004037</c:v>
                </c:pt>
                <c:pt idx="13">
                  <c:v>0.26371363913385443</c:v>
                </c:pt>
                <c:pt idx="14">
                  <c:v>0.27121461616474024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DSS!$N$2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DSS!$K$5:$K$19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DSS!$N$5:$N$19</c:f>
              <c:numCache>
                <c:formatCode>0.0000</c:formatCode>
                <c:ptCount val="15"/>
                <c:pt idx="0">
                  <c:v>1.3345943765825808E-3</c:v>
                </c:pt>
                <c:pt idx="1">
                  <c:v>8.8360108673241032E-3</c:v>
                </c:pt>
                <c:pt idx="2">
                  <c:v>2.5500290539630287E-2</c:v>
                </c:pt>
                <c:pt idx="3">
                  <c:v>5.0029353744187238E-2</c:v>
                </c:pt>
                <c:pt idx="4">
                  <c:v>8.2282683520277344E-2</c:v>
                </c:pt>
                <c:pt idx="5">
                  <c:v>0.11075959446292039</c:v>
                </c:pt>
                <c:pt idx="6">
                  <c:v>0.13368762427591407</c:v>
                </c:pt>
                <c:pt idx="7">
                  <c:v>0.15819220292652528</c:v>
                </c:pt>
                <c:pt idx="8">
                  <c:v>0.18151604629093018</c:v>
                </c:pt>
                <c:pt idx="9">
                  <c:v>0.19567196011310678</c:v>
                </c:pt>
                <c:pt idx="10">
                  <c:v>0.20853716276878551</c:v>
                </c:pt>
                <c:pt idx="11">
                  <c:v>0.21843953561225765</c:v>
                </c:pt>
                <c:pt idx="12">
                  <c:v>0.2261210423474028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DSS!$S$2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DSS!$P$5:$P$19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DSS!$S$5:$S$19</c:f>
              <c:numCache>
                <c:formatCode>0.0000</c:formatCode>
                <c:ptCount val="15"/>
                <c:pt idx="0">
                  <c:v>9.2080970045691304E-4</c:v>
                </c:pt>
                <c:pt idx="1">
                  <c:v>3.6123334279735833E-3</c:v>
                </c:pt>
                <c:pt idx="2">
                  <c:v>6.9950857374136985E-3</c:v>
                </c:pt>
                <c:pt idx="3">
                  <c:v>1.8518735045160894E-2</c:v>
                </c:pt>
                <c:pt idx="4">
                  <c:v>2.7403840560238892E-2</c:v>
                </c:pt>
                <c:pt idx="5">
                  <c:v>3.2685030865195558E-2</c:v>
                </c:pt>
                <c:pt idx="6">
                  <c:v>3.9707343422928087E-2</c:v>
                </c:pt>
                <c:pt idx="7">
                  <c:v>5.0398927282682852E-2</c:v>
                </c:pt>
                <c:pt idx="8">
                  <c:v>6.0553143590821222E-2</c:v>
                </c:pt>
                <c:pt idx="9">
                  <c:v>7.3069149353349308E-2</c:v>
                </c:pt>
                <c:pt idx="10">
                  <c:v>8.54309578186805E-2</c:v>
                </c:pt>
                <c:pt idx="11">
                  <c:v>9.6963656700933362E-2</c:v>
                </c:pt>
                <c:pt idx="12">
                  <c:v>0.10655226741041289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&amp; CO2'!$A$2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&amp; CO2'!$C$5:$C$18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'Langmuir | Carb &amp; CO2'!$F$2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&amp; CO2'!$H$5:$H$18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'Langmuir | Carb &amp; CO2'!$K$2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&amp; CO2'!$M$5:$M$18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'Langmuir | Carb &amp; CO2'!$P$2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&amp; CO2'!$R$5:$R$18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&amp; CO2'!$D$2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&amp; CO2'!$D$5:$D$18</c:f>
              <c:numCache>
                <c:formatCode>0.0000</c:formatCode>
                <c:ptCount val="14"/>
                <c:pt idx="0">
                  <c:v>6.7017014803610997E-2</c:v>
                </c:pt>
                <c:pt idx="1">
                  <c:v>0.11258354345557772</c:v>
                </c:pt>
                <c:pt idx="2">
                  <c:v>0.14380914614393422</c:v>
                </c:pt>
                <c:pt idx="3">
                  <c:v>0.17052028524026452</c:v>
                </c:pt>
                <c:pt idx="4">
                  <c:v>0.18800979151520375</c:v>
                </c:pt>
                <c:pt idx="5">
                  <c:v>0.20346202213126985</c:v>
                </c:pt>
                <c:pt idx="6">
                  <c:v>0.21734818662844602</c:v>
                </c:pt>
                <c:pt idx="7">
                  <c:v>0.22871655838790791</c:v>
                </c:pt>
                <c:pt idx="8">
                  <c:v>0.23775725826078684</c:v>
                </c:pt>
                <c:pt idx="9">
                  <c:v>0.24538427631284868</c:v>
                </c:pt>
                <c:pt idx="10">
                  <c:v>0.25237432639779106</c:v>
                </c:pt>
                <c:pt idx="11">
                  <c:v>0.25824968780499424</c:v>
                </c:pt>
                <c:pt idx="12">
                  <c:v>0.26392485394144816</c:v>
                </c:pt>
                <c:pt idx="13">
                  <c:v>0.26851880356442492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'Langmuir | Carb &amp; CO2'!$I$2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&amp; CO2'!$I$5:$I$18</c:f>
              <c:numCache>
                <c:formatCode>0.0000</c:formatCode>
                <c:ptCount val="14"/>
                <c:pt idx="0">
                  <c:v>5.547107803929581E-2</c:v>
                </c:pt>
                <c:pt idx="1">
                  <c:v>9.2305312056271835E-2</c:v>
                </c:pt>
                <c:pt idx="2">
                  <c:v>0.12149572764956913</c:v>
                </c:pt>
                <c:pt idx="3">
                  <c:v>0.14680062301711819</c:v>
                </c:pt>
                <c:pt idx="4">
                  <c:v>0.16486267508677016</c:v>
                </c:pt>
                <c:pt idx="5">
                  <c:v>0.17998960636159572</c:v>
                </c:pt>
                <c:pt idx="6">
                  <c:v>0.19413401799347263</c:v>
                </c:pt>
                <c:pt idx="7">
                  <c:v>0.20643949836342979</c:v>
                </c:pt>
                <c:pt idx="8">
                  <c:v>0.21617517643141246</c:v>
                </c:pt>
                <c:pt idx="9">
                  <c:v>0.22458368851231816</c:v>
                </c:pt>
                <c:pt idx="10">
                  <c:v>0.23221821781386556</c:v>
                </c:pt>
                <c:pt idx="11">
                  <c:v>0.23877654907358681</c:v>
                </c:pt>
                <c:pt idx="12">
                  <c:v>0.24505041985722231</c:v>
                </c:pt>
                <c:pt idx="13">
                  <c:v>0.25044570804643734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'Langmuir | Carb &amp; CO2'!$N$2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&amp; CO2'!$N$5:$N$18</c:f>
              <c:numCache>
                <c:formatCode>0.0000</c:formatCode>
                <c:ptCount val="14"/>
                <c:pt idx="0">
                  <c:v>2.7945914181163909E-2</c:v>
                </c:pt>
                <c:pt idx="1">
                  <c:v>5.0661411973923987E-2</c:v>
                </c:pt>
                <c:pt idx="2">
                  <c:v>6.9387856854095334E-2</c:v>
                </c:pt>
                <c:pt idx="3">
                  <c:v>8.889672462196227E-2</c:v>
                </c:pt>
                <c:pt idx="4">
                  <c:v>0.10326399249391474</c:v>
                </c:pt>
                <c:pt idx="5">
                  <c:v>0.11627445044557502</c:v>
                </c:pt>
                <c:pt idx="6">
                  <c:v>0.12909710493274223</c:v>
                </c:pt>
                <c:pt idx="7">
                  <c:v>0.1410314204531776</c:v>
                </c:pt>
                <c:pt idx="8">
                  <c:v>0.15083886024387561</c:v>
                </c:pt>
                <c:pt idx="9">
                  <c:v>0.1599497885843662</c:v>
                </c:pt>
                <c:pt idx="10">
                  <c:v>0.16842886977657837</c:v>
                </c:pt>
                <c:pt idx="11">
                  <c:v>0.17602760208094897</c:v>
                </c:pt>
                <c:pt idx="12">
                  <c:v>0.18322656650109462</c:v>
                </c:pt>
                <c:pt idx="13">
                  <c:v>0.18946177524993404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'Langmuir | Carb &amp; CO2'!$S$2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&amp; CO2'!$S$5:$S$18</c:f>
              <c:numCache>
                <c:formatCode>0.0000</c:formatCode>
                <c:ptCount val="14"/>
                <c:pt idx="0">
                  <c:v>1.8333621033679155E-2</c:v>
                </c:pt>
                <c:pt idx="1">
                  <c:v>3.4376655648249134E-2</c:v>
                </c:pt>
                <c:pt idx="2">
                  <c:v>4.7761340758155614E-2</c:v>
                </c:pt>
                <c:pt idx="3">
                  <c:v>6.2348640076382314E-2</c:v>
                </c:pt>
                <c:pt idx="4">
                  <c:v>7.3512649912273992E-2</c:v>
                </c:pt>
                <c:pt idx="5">
                  <c:v>8.4299983591673178E-2</c:v>
                </c:pt>
                <c:pt idx="6">
                  <c:v>9.5327588755053094E-2</c:v>
                </c:pt>
                <c:pt idx="7">
                  <c:v>0.1053785380220392</c:v>
                </c:pt>
                <c:pt idx="8">
                  <c:v>0.11412742929832696</c:v>
                </c:pt>
                <c:pt idx="9">
                  <c:v>0.12193637453169315</c:v>
                </c:pt>
                <c:pt idx="10">
                  <c:v>0.12979248369205731</c:v>
                </c:pt>
                <c:pt idx="11">
                  <c:v>0.13712466878401594</c:v>
                </c:pt>
                <c:pt idx="12">
                  <c:v>0.14405255561550959</c:v>
                </c:pt>
                <c:pt idx="13">
                  <c:v>0.15035044262139285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&amp;CH4'!$A$2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&amp;CH4'!$A$5:$A$18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&amp;CH4'!$C$5:$C$18</c:f>
              <c:numCache>
                <c:formatCode>0.0000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841-8453-923C812090D8}"/>
            </c:ext>
          </c:extLst>
        </c:ser>
        <c:ser>
          <c:idx val="1"/>
          <c:order val="1"/>
          <c:tx>
            <c:strRef>
              <c:f>'Langmuir | Carb &amp;CH4'!$F$2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&amp;CH4'!$F$5:$F$18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&amp;CH4'!$H$5:$H$18</c:f>
              <c:numCache>
                <c:formatCode>0.0000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841-8453-923C812090D8}"/>
            </c:ext>
          </c:extLst>
        </c:ser>
        <c:ser>
          <c:idx val="2"/>
          <c:order val="2"/>
          <c:tx>
            <c:strRef>
              <c:f>'Langmuir | Carb &amp;CH4'!$K$2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&amp;CH4'!$K$5:$K$18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&amp;CH4'!$M$5:$M$18</c:f>
              <c:numCache>
                <c:formatCode>0.0000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841-8453-923C812090D8}"/>
            </c:ext>
          </c:extLst>
        </c:ser>
        <c:ser>
          <c:idx val="3"/>
          <c:order val="3"/>
          <c:tx>
            <c:strRef>
              <c:f>'Langmuir | Carb &amp;CH4'!$P$2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&amp;CH4'!$P$5:$P$18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&amp;CH4'!$R$5:$R$18</c:f>
              <c:numCache>
                <c:formatCode>0.0000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&amp;CH4'!$D$2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&amp;CH4'!$D$5:$D$18</c:f>
              <c:numCache>
                <c:formatCode>0.0000</c:formatCode>
                <c:ptCount val="14"/>
                <c:pt idx="0">
                  <c:v>1.0135440721262897E-2</c:v>
                </c:pt>
                <c:pt idx="1">
                  <c:v>1.907919276377788E-2</c:v>
                </c:pt>
                <c:pt idx="2">
                  <c:v>2.5922892296292629E-2</c:v>
                </c:pt>
                <c:pt idx="3">
                  <c:v>3.0626101441831893E-2</c:v>
                </c:pt>
                <c:pt idx="4">
                  <c:v>3.5131043536065117E-2</c:v>
                </c:pt>
                <c:pt idx="5">
                  <c:v>3.8352141855163398E-2</c:v>
                </c:pt>
                <c:pt idx="6">
                  <c:v>4.1398896310193972E-2</c:v>
                </c:pt>
                <c:pt idx="7">
                  <c:v>4.3881095995629844E-2</c:v>
                </c:pt>
                <c:pt idx="8">
                  <c:v>4.6253179761508466E-2</c:v>
                </c:pt>
                <c:pt idx="9">
                  <c:v>4.8218054851452953E-2</c:v>
                </c:pt>
                <c:pt idx="10">
                  <c:v>5.002985483054298E-2</c:v>
                </c:pt>
                <c:pt idx="11">
                  <c:v>5.155607062475033E-2</c:v>
                </c:pt>
                <c:pt idx="12">
                  <c:v>5.2920369981418011E-2</c:v>
                </c:pt>
                <c:pt idx="13">
                  <c:v>5.4146482059390585E-2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A3-4841-8453-923C812090D8}"/>
            </c:ext>
          </c:extLst>
        </c:ser>
        <c:ser>
          <c:idx val="5"/>
          <c:order val="5"/>
          <c:tx>
            <c:strRef>
              <c:f>'Langmuir | Carb &amp;CH4'!$I$2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&amp;CH4'!$I$5:$I$18</c:f>
              <c:numCache>
                <c:formatCode>0.0000</c:formatCode>
                <c:ptCount val="14"/>
                <c:pt idx="0">
                  <c:v>9.1430506902843486E-3</c:v>
                </c:pt>
                <c:pt idx="1">
                  <c:v>1.6036631345319251E-2</c:v>
                </c:pt>
                <c:pt idx="2">
                  <c:v>2.2203146397276996E-2</c:v>
                </c:pt>
                <c:pt idx="3">
                  <c:v>2.6351869063666326E-2</c:v>
                </c:pt>
                <c:pt idx="4">
                  <c:v>3.1065757945262947E-2</c:v>
                </c:pt>
                <c:pt idx="5">
                  <c:v>3.4025241433733096E-2</c:v>
                </c:pt>
                <c:pt idx="6">
                  <c:v>3.705529055738159E-2</c:v>
                </c:pt>
                <c:pt idx="7">
                  <c:v>3.9563562969387171E-2</c:v>
                </c:pt>
                <c:pt idx="8">
                  <c:v>4.1996113025851774E-2</c:v>
                </c:pt>
                <c:pt idx="9">
                  <c:v>4.4037626752968316E-2</c:v>
                </c:pt>
                <c:pt idx="10">
                  <c:v>4.5855753635869731E-2</c:v>
                </c:pt>
                <c:pt idx="11">
                  <c:v>4.7638241721019658E-2</c:v>
                </c:pt>
                <c:pt idx="12">
                  <c:v>4.9021961240983541E-2</c:v>
                </c:pt>
                <c:pt idx="13">
                  <c:v>5.0281777481034601E-2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A3-4841-8453-923C812090D8}"/>
            </c:ext>
          </c:extLst>
        </c:ser>
        <c:ser>
          <c:idx val="6"/>
          <c:order val="6"/>
          <c:tx>
            <c:strRef>
              <c:f>'Langmuir | Carb &amp;CH4'!$N$2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&amp;CH4'!$N$5:$N$18</c:f>
              <c:numCache>
                <c:formatCode>0.0000</c:formatCode>
                <c:ptCount val="14"/>
                <c:pt idx="0">
                  <c:v>4.6844555082260686E-3</c:v>
                </c:pt>
                <c:pt idx="1">
                  <c:v>9.7027828866948652E-3</c:v>
                </c:pt>
                <c:pt idx="2">
                  <c:v>1.3700651079646603E-2</c:v>
                </c:pt>
                <c:pt idx="3">
                  <c:v>1.6742425577673112E-2</c:v>
                </c:pt>
                <c:pt idx="4">
                  <c:v>2.0274081766638582E-2</c:v>
                </c:pt>
                <c:pt idx="5">
                  <c:v>2.2732783164435492E-2</c:v>
                </c:pt>
                <c:pt idx="6">
                  <c:v>2.5492156698284037E-2</c:v>
                </c:pt>
                <c:pt idx="7">
                  <c:v>2.7758194247505297E-2</c:v>
                </c:pt>
                <c:pt idx="8">
                  <c:v>3.0042608488432074E-2</c:v>
                </c:pt>
                <c:pt idx="9">
                  <c:v>3.2030296628920228E-2</c:v>
                </c:pt>
                <c:pt idx="10">
                  <c:v>3.3857647392102883E-2</c:v>
                </c:pt>
                <c:pt idx="11">
                  <c:v>3.5704325810204177E-2</c:v>
                </c:pt>
                <c:pt idx="12">
                  <c:v>3.7177452696326073E-2</c:v>
                </c:pt>
                <c:pt idx="13">
                  <c:v>3.8618454272465567E-2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A3-4841-8453-923C812090D8}"/>
            </c:ext>
          </c:extLst>
        </c:ser>
        <c:ser>
          <c:idx val="7"/>
          <c:order val="7"/>
          <c:tx>
            <c:strRef>
              <c:f>'Langmuir | Carb &amp;CH4'!$S$2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&amp;CH4'!$S$5:$S$18</c:f>
              <c:numCache>
                <c:formatCode>0.0000</c:formatCode>
                <c:ptCount val="14"/>
                <c:pt idx="0">
                  <c:v>3.4643259583542903E-3</c:v>
                </c:pt>
                <c:pt idx="1">
                  <c:v>6.948368632265306E-3</c:v>
                </c:pt>
                <c:pt idx="2">
                  <c:v>9.9749652781005432E-3</c:v>
                </c:pt>
                <c:pt idx="3">
                  <c:v>1.2348704037988332E-2</c:v>
                </c:pt>
                <c:pt idx="4">
                  <c:v>1.5185842841124404E-2</c:v>
                </c:pt>
                <c:pt idx="5">
                  <c:v>1.7212053983381232E-2</c:v>
                </c:pt>
                <c:pt idx="6">
                  <c:v>1.9541565623320892E-2</c:v>
                </c:pt>
                <c:pt idx="7">
                  <c:v>2.1497625852948211E-2</c:v>
                </c:pt>
                <c:pt idx="8">
                  <c:v>2.3510982597722135E-2</c:v>
                </c:pt>
                <c:pt idx="9">
                  <c:v>2.5298014515780794E-2</c:v>
                </c:pt>
                <c:pt idx="10">
                  <c:v>2.6970136276840525E-2</c:v>
                </c:pt>
                <c:pt idx="11">
                  <c:v>2.8613458301138917E-2</c:v>
                </c:pt>
                <c:pt idx="12">
                  <c:v>3.0081871689609383E-2</c:v>
                </c:pt>
                <c:pt idx="13">
                  <c:v>3.14640997330113E-2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Toth!$A$2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Toth!$A$5:$A$34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Toth!$C$5:$C$34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Toth!$F$2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Toth!$F$5:$F$34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Toth!$H$5:$H$34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Toth!$K$2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Toth!$K$5:$K$34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Toth!$M$5:$M$34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Toth!$P$2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Toth!$P$5:$P$34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Toth!$R$5:$R$34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Toth!$U$2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Toth!$U$5:$U$20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Toth!$W$5:$W$20</c:f>
              <c:numCache>
                <c:formatCode>0.0000</c:formatCode>
                <c:ptCount val="16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  <c:pt idx="11">
                  <c:v>8.7111852520000005E-2</c:v>
                </c:pt>
                <c:pt idx="12">
                  <c:v>0.10346325935</c:v>
                </c:pt>
                <c:pt idx="13">
                  <c:v>0.12078026752000001</c:v>
                </c:pt>
                <c:pt idx="14">
                  <c:v>0.13858139669000002</c:v>
                </c:pt>
                <c:pt idx="15">
                  <c:v>0.14840025078999999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Toth!$Z$2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Toth!$Z$5:$Z$20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Toth!$AB$5:$AB$20</c:f>
              <c:numCache>
                <c:formatCode>0.0000</c:formatCode>
                <c:ptCount val="16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  <c:pt idx="11">
                  <c:v>7.3239585320000009E-2</c:v>
                </c:pt>
                <c:pt idx="12">
                  <c:v>8.5505891130000011E-2</c:v>
                </c:pt>
                <c:pt idx="13">
                  <c:v>9.8117683290000007E-2</c:v>
                </c:pt>
                <c:pt idx="14">
                  <c:v>0.1145562319</c:v>
                </c:pt>
                <c:pt idx="15">
                  <c:v>0.12269606635000001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Toth!$AE$2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Toth!$AE$5:$AE$20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Toth!$AG$5:$AG$20</c:f>
              <c:numCache>
                <c:formatCode>0.0000</c:formatCode>
                <c:ptCount val="16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  <c:pt idx="11">
                  <c:v>5.9497150570000004E-2</c:v>
                </c:pt>
                <c:pt idx="12">
                  <c:v>6.8279105510000007E-2</c:v>
                </c:pt>
                <c:pt idx="13">
                  <c:v>8.1107431790000004E-2</c:v>
                </c:pt>
                <c:pt idx="14">
                  <c:v>9.1489626690000006E-2</c:v>
                </c:pt>
                <c:pt idx="15">
                  <c:v>9.6313232290000009E-2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Toth!$AJ$2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Toth!$AJ$5:$AJ$20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Toth!$AL$5:$AL$20</c:f>
              <c:numCache>
                <c:formatCode>0.0000</c:formatCode>
                <c:ptCount val="16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  <c:pt idx="11">
                  <c:v>4.6699191879999997E-2</c:v>
                </c:pt>
                <c:pt idx="12">
                  <c:v>5.359747602E-2</c:v>
                </c:pt>
                <c:pt idx="13">
                  <c:v>6.2585842550000007E-2</c:v>
                </c:pt>
                <c:pt idx="14">
                  <c:v>7.059100334E-2</c:v>
                </c:pt>
                <c:pt idx="15">
                  <c:v>7.6934748880000015E-2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Toth!$AO$2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Toth!$AO$5:$AO$19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Toth!$AQ$5:$AQ$19</c:f>
              <c:numCache>
                <c:formatCode>0.0000</c:formatCode>
                <c:ptCount val="15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  <c:pt idx="11">
                  <c:v>3.8612346674E-2</c:v>
                </c:pt>
                <c:pt idx="12">
                  <c:v>4.2809411678000002E-2</c:v>
                </c:pt>
                <c:pt idx="13">
                  <c:v>4.746278273E-2</c:v>
                </c:pt>
                <c:pt idx="14">
                  <c:v>5.3541141940000002E-2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Toth!$AT$2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Toth!$AT$5:$AT$18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Toth!$AV$5:$AV$18</c:f>
              <c:numCache>
                <c:formatCode>0.0000</c:formatCode>
                <c:ptCount val="14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  <c:pt idx="11">
                  <c:v>3.0302365697999999E-2</c:v>
                </c:pt>
                <c:pt idx="12">
                  <c:v>3.6626042221999999E-2</c:v>
                </c:pt>
                <c:pt idx="13">
                  <c:v>4.2768437437000005E-2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Toth!$D$2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Toth!$D$5:$D$34</c:f>
              <c:numCache>
                <c:formatCode>0.0000</c:formatCode>
                <c:ptCount val="30"/>
                <c:pt idx="0">
                  <c:v>5.1083218584712341E-2</c:v>
                </c:pt>
                <c:pt idx="1">
                  <c:v>6.2034743849177926E-2</c:v>
                </c:pt>
                <c:pt idx="2">
                  <c:v>8.5706479843900715E-2</c:v>
                </c:pt>
                <c:pt idx="3">
                  <c:v>0.11205053954791809</c:v>
                </c:pt>
                <c:pt idx="4">
                  <c:v>0.13449590243319673</c:v>
                </c:pt>
                <c:pt idx="5">
                  <c:v>0.17263687623903165</c:v>
                </c:pt>
                <c:pt idx="6">
                  <c:v>0.23751126964865266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Toth!$I$2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Toth!$I$5:$I$34</c:f>
              <c:numCache>
                <c:formatCode>0.0000</c:formatCode>
                <c:ptCount val="30"/>
                <c:pt idx="0">
                  <c:v>1.8593899596436082E-2</c:v>
                </c:pt>
                <c:pt idx="1">
                  <c:v>2.2340289762192839E-2</c:v>
                </c:pt>
                <c:pt idx="2">
                  <c:v>2.8230381939134803E-2</c:v>
                </c:pt>
                <c:pt idx="3">
                  <c:v>3.8179676402395266E-2</c:v>
                </c:pt>
                <c:pt idx="4">
                  <c:v>4.8658783236363017E-2</c:v>
                </c:pt>
                <c:pt idx="5">
                  <c:v>6.3842609454126786E-2</c:v>
                </c:pt>
                <c:pt idx="6">
                  <c:v>8.7866980956880891E-2</c:v>
                </c:pt>
                <c:pt idx="7">
                  <c:v>0.11142976357311479</c:v>
                </c:pt>
                <c:pt idx="8">
                  <c:v>0.13569264619239244</c:v>
                </c:pt>
                <c:pt idx="9">
                  <c:v>0.17287586868353447</c:v>
                </c:pt>
                <c:pt idx="10">
                  <c:v>0.22580017417478854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Toth!$N$2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Toth!$N$5:$N$34</c:f>
              <c:numCache>
                <c:formatCode>0.0000</c:formatCode>
                <c:ptCount val="30"/>
                <c:pt idx="0">
                  <c:v>1.0234933590923447E-2</c:v>
                </c:pt>
                <c:pt idx="1">
                  <c:v>1.284026147081868E-2</c:v>
                </c:pt>
                <c:pt idx="2">
                  <c:v>1.4949281603761841E-2</c:v>
                </c:pt>
                <c:pt idx="3">
                  <c:v>1.9395567207609776E-2</c:v>
                </c:pt>
                <c:pt idx="4">
                  <c:v>2.3381095629387057E-2</c:v>
                </c:pt>
                <c:pt idx="5">
                  <c:v>3.0973693225857375E-2</c:v>
                </c:pt>
                <c:pt idx="6">
                  <c:v>4.0848072381981897E-2</c:v>
                </c:pt>
                <c:pt idx="7">
                  <c:v>5.1534690167572068E-2</c:v>
                </c:pt>
                <c:pt idx="8">
                  <c:v>6.7045957475713555E-2</c:v>
                </c:pt>
                <c:pt idx="9">
                  <c:v>8.5304962752219327E-2</c:v>
                </c:pt>
                <c:pt idx="10">
                  <c:v>0.10827726842352378</c:v>
                </c:pt>
                <c:pt idx="11">
                  <c:v>0.13079422086003387</c:v>
                </c:pt>
                <c:pt idx="12">
                  <c:v>0.16135910063075129</c:v>
                </c:pt>
                <c:pt idx="13">
                  <c:v>0.19684645031976206</c:v>
                </c:pt>
                <c:pt idx="14">
                  <c:v>0.22195133450372195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Toth!$S$2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Toth!$S$5:$S$34</c:f>
              <c:numCache>
                <c:formatCode>0.0000</c:formatCode>
                <c:ptCount val="30"/>
                <c:pt idx="0">
                  <c:v>4.1116782409228959E-3</c:v>
                </c:pt>
                <c:pt idx="1">
                  <c:v>5.780562013880392E-3</c:v>
                </c:pt>
                <c:pt idx="2">
                  <c:v>7.5721516523668403E-3</c:v>
                </c:pt>
                <c:pt idx="3">
                  <c:v>1.1550959215773931E-2</c:v>
                </c:pt>
                <c:pt idx="4">
                  <c:v>1.3294766369565088E-2</c:v>
                </c:pt>
                <c:pt idx="5">
                  <c:v>1.55122691311643E-2</c:v>
                </c:pt>
                <c:pt idx="6">
                  <c:v>1.743945122215057E-2</c:v>
                </c:pt>
                <c:pt idx="7">
                  <c:v>2.1191765869249743E-2</c:v>
                </c:pt>
                <c:pt idx="8">
                  <c:v>2.5171849534282718E-2</c:v>
                </c:pt>
                <c:pt idx="9">
                  <c:v>2.635309394336556E-2</c:v>
                </c:pt>
                <c:pt idx="10">
                  <c:v>3.2442580377702208E-2</c:v>
                </c:pt>
                <c:pt idx="11">
                  <c:v>4.1200173012238675E-2</c:v>
                </c:pt>
                <c:pt idx="12">
                  <c:v>4.1764362667802271E-2</c:v>
                </c:pt>
                <c:pt idx="13">
                  <c:v>5.0908439429170553E-2</c:v>
                </c:pt>
                <c:pt idx="14">
                  <c:v>5.5622685893788403E-2</c:v>
                </c:pt>
                <c:pt idx="15">
                  <c:v>6.5150049822549516E-2</c:v>
                </c:pt>
                <c:pt idx="16">
                  <c:v>8.3580403200903874E-2</c:v>
                </c:pt>
                <c:pt idx="17">
                  <c:v>9.77855483032187E-2</c:v>
                </c:pt>
                <c:pt idx="18">
                  <c:v>9.8778479578087997E-2</c:v>
                </c:pt>
                <c:pt idx="19">
                  <c:v>0.1186865920384118</c:v>
                </c:pt>
                <c:pt idx="20">
                  <c:v>0.12424094787079998</c:v>
                </c:pt>
                <c:pt idx="21">
                  <c:v>0.14162804801102621</c:v>
                </c:pt>
                <c:pt idx="22">
                  <c:v>0.14522806451145431</c:v>
                </c:pt>
                <c:pt idx="23">
                  <c:v>0.16251397644702303</c:v>
                </c:pt>
                <c:pt idx="24">
                  <c:v>0.16886600420897449</c:v>
                </c:pt>
                <c:pt idx="25">
                  <c:v>0.18181724294884363</c:v>
                </c:pt>
                <c:pt idx="26">
                  <c:v>0.18444365871113935</c:v>
                </c:pt>
                <c:pt idx="27">
                  <c:v>0.19907699546199423</c:v>
                </c:pt>
                <c:pt idx="28">
                  <c:v>0.2071760972094876</c:v>
                </c:pt>
                <c:pt idx="29">
                  <c:v>0.21671084511951688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Toth!$X$2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Toth!$X$5:$X$20</c:f>
              <c:numCache>
                <c:formatCode>0.0000</c:formatCode>
                <c:ptCount val="16"/>
                <c:pt idx="0">
                  <c:v>5.7080414042918201E-3</c:v>
                </c:pt>
                <c:pt idx="1">
                  <c:v>1.1331635607624646E-2</c:v>
                </c:pt>
                <c:pt idx="2">
                  <c:v>1.4279576794336016E-2</c:v>
                </c:pt>
                <c:pt idx="3">
                  <c:v>1.5840509962254112E-2</c:v>
                </c:pt>
                <c:pt idx="4">
                  <c:v>2.0695893598024966E-2</c:v>
                </c:pt>
                <c:pt idx="5">
                  <c:v>2.4677752409865073E-2</c:v>
                </c:pt>
                <c:pt idx="6">
                  <c:v>3.2461419900711962E-2</c:v>
                </c:pt>
                <c:pt idx="7">
                  <c:v>4.0830757048538294E-2</c:v>
                </c:pt>
                <c:pt idx="8">
                  <c:v>4.8715326784217E-2</c:v>
                </c:pt>
                <c:pt idx="9">
                  <c:v>5.7620122054303863E-2</c:v>
                </c:pt>
                <c:pt idx="10">
                  <c:v>7.2523769556418094E-2</c:v>
                </c:pt>
                <c:pt idx="11">
                  <c:v>8.6824199909898356E-2</c:v>
                </c:pt>
                <c:pt idx="12">
                  <c:v>0.10062175002218088</c:v>
                </c:pt>
                <c:pt idx="13">
                  <c:v>0.11556438431207371</c:v>
                </c:pt>
                <c:pt idx="14">
                  <c:v>0.13157467782854343</c:v>
                </c:pt>
                <c:pt idx="15">
                  <c:v>0.14731060632978682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Toth!$AC$2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Toth!$AC$5:$AC$20</c:f>
              <c:numCache>
                <c:formatCode>0.0000</c:formatCode>
                <c:ptCount val="16"/>
                <c:pt idx="0">
                  <c:v>6.5814302848777326E-3</c:v>
                </c:pt>
                <c:pt idx="1">
                  <c:v>1.1037525063805073E-2</c:v>
                </c:pt>
                <c:pt idx="2">
                  <c:v>1.3719862586326992E-2</c:v>
                </c:pt>
                <c:pt idx="3">
                  <c:v>1.5793764535985102E-2</c:v>
                </c:pt>
                <c:pt idx="4">
                  <c:v>2.003945925964817E-2</c:v>
                </c:pt>
                <c:pt idx="5">
                  <c:v>2.4370426031962173E-2</c:v>
                </c:pt>
                <c:pt idx="6">
                  <c:v>2.9861322487266861E-2</c:v>
                </c:pt>
                <c:pt idx="7">
                  <c:v>3.7326337483116444E-2</c:v>
                </c:pt>
                <c:pt idx="8">
                  <c:v>4.3626618542068743E-2</c:v>
                </c:pt>
                <c:pt idx="9">
                  <c:v>5.1340815836524091E-2</c:v>
                </c:pt>
                <c:pt idx="10">
                  <c:v>6.1491421158252513E-2</c:v>
                </c:pt>
                <c:pt idx="11">
                  <c:v>7.1199973594385846E-2</c:v>
                </c:pt>
                <c:pt idx="12">
                  <c:v>8.1843151609130332E-2</c:v>
                </c:pt>
                <c:pt idx="13">
                  <c:v>9.3409656229534552E-2</c:v>
                </c:pt>
                <c:pt idx="14">
                  <c:v>0.10480109050588722</c:v>
                </c:pt>
                <c:pt idx="15">
                  <c:v>0.11466032679540841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Toth!$AH$2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Toth!$AH$5:$AH$20</c:f>
              <c:numCache>
                <c:formatCode>0.0000</c:formatCode>
                <c:ptCount val="16"/>
                <c:pt idx="0">
                  <c:v>6.3011421545253526E-3</c:v>
                </c:pt>
                <c:pt idx="1">
                  <c:v>1.0072408254163504E-2</c:v>
                </c:pt>
                <c:pt idx="2">
                  <c:v>1.2362058065667243E-2</c:v>
                </c:pt>
                <c:pt idx="3">
                  <c:v>1.4547017153646688E-2</c:v>
                </c:pt>
                <c:pt idx="4">
                  <c:v>1.7949324319411045E-2</c:v>
                </c:pt>
                <c:pt idx="5">
                  <c:v>2.1256902353462882E-2</c:v>
                </c:pt>
                <c:pt idx="6">
                  <c:v>2.5851974646471546E-2</c:v>
                </c:pt>
                <c:pt idx="7">
                  <c:v>3.1673044595600136E-2</c:v>
                </c:pt>
                <c:pt idx="8">
                  <c:v>3.5724024526010367E-2</c:v>
                </c:pt>
                <c:pt idx="9">
                  <c:v>4.1913133485679883E-2</c:v>
                </c:pt>
                <c:pt idx="10">
                  <c:v>5.0196716604574032E-2</c:v>
                </c:pt>
                <c:pt idx="11">
                  <c:v>5.7311241853258511E-2</c:v>
                </c:pt>
                <c:pt idx="12">
                  <c:v>6.5087410069628746E-2</c:v>
                </c:pt>
                <c:pt idx="13">
                  <c:v>7.4414017951192693E-2</c:v>
                </c:pt>
                <c:pt idx="14">
                  <c:v>8.2646628377683787E-2</c:v>
                </c:pt>
                <c:pt idx="15">
                  <c:v>9.1414646087599929E-2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Toth!$AM$2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Toth!$AM$5:$AM$20</c:f>
              <c:numCache>
                <c:formatCode>0.0000</c:formatCode>
                <c:ptCount val="16"/>
                <c:pt idx="0">
                  <c:v>5.4145155604263103E-3</c:v>
                </c:pt>
                <c:pt idx="1">
                  <c:v>8.4365758276759781E-3</c:v>
                </c:pt>
                <c:pt idx="2">
                  <c:v>1.0234385895331021E-2</c:v>
                </c:pt>
                <c:pt idx="3">
                  <c:v>1.2121944933388244E-2</c:v>
                </c:pt>
                <c:pt idx="4">
                  <c:v>1.5087212855192302E-2</c:v>
                </c:pt>
                <c:pt idx="5">
                  <c:v>1.7686036493628876E-2</c:v>
                </c:pt>
                <c:pt idx="6">
                  <c:v>2.0991125699431228E-2</c:v>
                </c:pt>
                <c:pt idx="7">
                  <c:v>2.4775530305538935E-2</c:v>
                </c:pt>
                <c:pt idx="8">
                  <c:v>2.8624520557548664E-2</c:v>
                </c:pt>
                <c:pt idx="9">
                  <c:v>3.3428612504187112E-2</c:v>
                </c:pt>
                <c:pt idx="10">
                  <c:v>3.8821881735544843E-2</c:v>
                </c:pt>
                <c:pt idx="11">
                  <c:v>4.547235019176657E-2</c:v>
                </c:pt>
                <c:pt idx="12">
                  <c:v>5.0800738021072919E-2</c:v>
                </c:pt>
                <c:pt idx="13">
                  <c:v>5.655524828672974E-2</c:v>
                </c:pt>
                <c:pt idx="14">
                  <c:v>6.5177114784478699E-2</c:v>
                </c:pt>
                <c:pt idx="15">
                  <c:v>7.0229821987395094E-2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Toth!$AR$2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Toth!$AR$5:$AR$19</c:f>
              <c:numCache>
                <c:formatCode>0.0000</c:formatCode>
                <c:ptCount val="15"/>
                <c:pt idx="0">
                  <c:v>4.2636731675642714E-3</c:v>
                </c:pt>
                <c:pt idx="1">
                  <c:v>6.8905354794832618E-3</c:v>
                </c:pt>
                <c:pt idx="2">
                  <c:v>7.9311231653660039E-3</c:v>
                </c:pt>
                <c:pt idx="3">
                  <c:v>9.2844746000920308E-3</c:v>
                </c:pt>
                <c:pt idx="4">
                  <c:v>1.1465451918396855E-2</c:v>
                </c:pt>
                <c:pt idx="5">
                  <c:v>1.3559033748642112E-2</c:v>
                </c:pt>
                <c:pt idx="6">
                  <c:v>1.6542804475980225E-2</c:v>
                </c:pt>
                <c:pt idx="7">
                  <c:v>1.9705595121503491E-2</c:v>
                </c:pt>
                <c:pt idx="8">
                  <c:v>2.2198499460000687E-2</c:v>
                </c:pt>
                <c:pt idx="9">
                  <c:v>2.5767536475082512E-2</c:v>
                </c:pt>
                <c:pt idx="10">
                  <c:v>2.9773659257659155E-2</c:v>
                </c:pt>
                <c:pt idx="11">
                  <c:v>3.4245195183446965E-2</c:v>
                </c:pt>
                <c:pt idx="12">
                  <c:v>3.9208353838946323E-2</c:v>
                </c:pt>
                <c:pt idx="13">
                  <c:v>4.468658170910364E-2</c:v>
                </c:pt>
                <c:pt idx="14">
                  <c:v>5.0004639552039723E-2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Toth!$AW$2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Toth!$AT$5:$AT$18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Toth!$AW$5:$AW$18</c:f>
              <c:numCache>
                <c:formatCode>0.0000</c:formatCode>
                <c:ptCount val="14"/>
                <c:pt idx="0">
                  <c:v>5.1992493327742825E-3</c:v>
                </c:pt>
                <c:pt idx="1">
                  <c:v>6.2745975196459094E-3</c:v>
                </c:pt>
                <c:pt idx="2">
                  <c:v>7.0957094386428429E-3</c:v>
                </c:pt>
                <c:pt idx="3">
                  <c:v>8.8462230263386052E-3</c:v>
                </c:pt>
                <c:pt idx="4">
                  <c:v>1.0543850155160255E-2</c:v>
                </c:pt>
                <c:pt idx="5">
                  <c:v>1.2511585389337778E-2</c:v>
                </c:pt>
                <c:pt idx="6">
                  <c:v>1.4779958268232982E-2</c:v>
                </c:pt>
                <c:pt idx="7">
                  <c:v>1.6772290503291199E-2</c:v>
                </c:pt>
                <c:pt idx="8">
                  <c:v>1.96532719836684E-2</c:v>
                </c:pt>
                <c:pt idx="9">
                  <c:v>2.2923331989187778E-2</c:v>
                </c:pt>
                <c:pt idx="10">
                  <c:v>2.6182286354099218E-2</c:v>
                </c:pt>
                <c:pt idx="11">
                  <c:v>2.9795220122727346E-2</c:v>
                </c:pt>
                <c:pt idx="12">
                  <c:v>3.430834744604655E-2</c:v>
                </c:pt>
                <c:pt idx="13">
                  <c:v>3.8739767452350922E-2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41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K48"/>
  <sheetViews>
    <sheetView topLeftCell="A10" workbookViewId="0">
      <selection activeCell="G35" sqref="G35"/>
    </sheetView>
  </sheetViews>
  <sheetFormatPr baseColWidth="10" defaultRowHeight="15" x14ac:dyDescent="0.25"/>
  <cols>
    <col min="1" max="1" width="54" style="23" bestFit="1" customWidth="1"/>
    <col min="2" max="2" width="12.7109375" style="23" bestFit="1" customWidth="1"/>
    <col min="3" max="5" width="11.42578125" style="23"/>
    <col min="6" max="6" width="2.85546875" style="23" customWidth="1"/>
    <col min="7" max="7" width="74.140625" style="23" bestFit="1" customWidth="1"/>
    <col min="8" max="8" width="12.7109375" style="23" bestFit="1" customWidth="1"/>
    <col min="9" max="16384" width="11.42578125" style="23"/>
  </cols>
  <sheetData>
    <row r="1" spans="1:11" ht="15.75" thickBot="1" x14ac:dyDescent="0.3">
      <c r="A1" s="51" t="s">
        <v>102</v>
      </c>
      <c r="B1" s="52"/>
      <c r="C1" s="52"/>
      <c r="D1" s="52"/>
      <c r="E1" s="53"/>
      <c r="G1" s="51" t="s">
        <v>105</v>
      </c>
      <c r="H1" s="52"/>
      <c r="I1" s="52"/>
      <c r="J1" s="52"/>
      <c r="K1" s="53"/>
    </row>
    <row r="2" spans="1:11" x14ac:dyDescent="0.25">
      <c r="A2" s="24" t="s">
        <v>10</v>
      </c>
      <c r="B2" s="43" t="s">
        <v>11</v>
      </c>
      <c r="C2" s="43"/>
      <c r="D2" s="43"/>
      <c r="E2" s="44"/>
      <c r="G2" s="24" t="s">
        <v>10</v>
      </c>
      <c r="H2" s="43" t="s">
        <v>11</v>
      </c>
      <c r="I2" s="43"/>
      <c r="J2" s="43"/>
      <c r="K2" s="44"/>
    </row>
    <row r="3" spans="1:11" x14ac:dyDescent="0.25">
      <c r="A3" s="24" t="s">
        <v>12</v>
      </c>
      <c r="B3" s="43" t="s">
        <v>13</v>
      </c>
      <c r="C3" s="43"/>
      <c r="D3" s="43"/>
      <c r="E3" s="44"/>
      <c r="G3" s="24" t="s">
        <v>12</v>
      </c>
      <c r="H3" s="43" t="s">
        <v>49</v>
      </c>
      <c r="I3" s="43"/>
      <c r="J3" s="43"/>
      <c r="K3" s="44"/>
    </row>
    <row r="4" spans="1:11" x14ac:dyDescent="0.25">
      <c r="A4" s="24" t="s">
        <v>14</v>
      </c>
      <c r="B4" s="43" t="s">
        <v>15</v>
      </c>
      <c r="C4" s="43"/>
      <c r="D4" s="43"/>
      <c r="E4" s="44"/>
      <c r="G4" s="24" t="s">
        <v>14</v>
      </c>
      <c r="H4" s="43" t="s">
        <v>38</v>
      </c>
      <c r="I4" s="43"/>
      <c r="J4" s="43"/>
      <c r="K4" s="44"/>
    </row>
    <row r="5" spans="1:11" x14ac:dyDescent="0.25">
      <c r="A5" s="24" t="s">
        <v>16</v>
      </c>
      <c r="B5" s="43" t="s">
        <v>17</v>
      </c>
      <c r="C5" s="43"/>
      <c r="D5" s="43"/>
      <c r="E5" s="44"/>
      <c r="G5" s="24" t="s">
        <v>16</v>
      </c>
      <c r="H5" s="43" t="s">
        <v>50</v>
      </c>
      <c r="I5" s="43"/>
      <c r="J5" s="43"/>
      <c r="K5" s="44"/>
    </row>
    <row r="6" spans="1:11" x14ac:dyDescent="0.25">
      <c r="A6" s="24" t="s">
        <v>18</v>
      </c>
      <c r="B6" s="43" t="s">
        <v>19</v>
      </c>
      <c r="C6" s="43"/>
      <c r="D6" s="43"/>
      <c r="E6" s="44"/>
      <c r="G6" s="24" t="s">
        <v>18</v>
      </c>
      <c r="H6" s="43" t="s">
        <v>19</v>
      </c>
      <c r="I6" s="43"/>
      <c r="J6" s="43"/>
      <c r="K6" s="44"/>
    </row>
    <row r="7" spans="1:11" x14ac:dyDescent="0.25">
      <c r="A7" s="24" t="s">
        <v>20</v>
      </c>
      <c r="B7" s="43" t="s">
        <v>21</v>
      </c>
      <c r="C7" s="43"/>
      <c r="D7" s="43"/>
      <c r="E7" s="44"/>
      <c r="G7" s="24" t="s">
        <v>20</v>
      </c>
      <c r="H7" s="43" t="s">
        <v>21</v>
      </c>
      <c r="I7" s="43"/>
      <c r="J7" s="43"/>
      <c r="K7" s="44"/>
    </row>
    <row r="8" spans="1:11" x14ac:dyDescent="0.25">
      <c r="A8" s="24" t="s">
        <v>24</v>
      </c>
      <c r="B8" s="43">
        <v>1</v>
      </c>
      <c r="C8" s="43"/>
      <c r="D8" s="43"/>
      <c r="E8" s="44"/>
      <c r="G8" s="24" t="s">
        <v>24</v>
      </c>
      <c r="H8" s="43">
        <v>1</v>
      </c>
      <c r="I8" s="43"/>
      <c r="J8" s="43"/>
      <c r="K8" s="44"/>
    </row>
    <row r="9" spans="1:11" x14ac:dyDescent="0.25">
      <c r="A9" s="24" t="s">
        <v>25</v>
      </c>
      <c r="B9" s="43">
        <v>1</v>
      </c>
      <c r="C9" s="43"/>
      <c r="D9" s="43"/>
      <c r="E9" s="44"/>
      <c r="G9" s="24" t="s">
        <v>25</v>
      </c>
      <c r="H9" s="43">
        <v>1</v>
      </c>
      <c r="I9" s="43"/>
      <c r="J9" s="43"/>
      <c r="K9" s="44"/>
    </row>
    <row r="10" spans="1:11" ht="15.75" thickBot="1" x14ac:dyDescent="0.3">
      <c r="A10" s="25" t="s">
        <v>26</v>
      </c>
      <c r="B10" s="35">
        <v>1</v>
      </c>
      <c r="C10" s="35"/>
      <c r="D10" s="35"/>
      <c r="E10" s="36"/>
      <c r="G10" s="25" t="s">
        <v>26</v>
      </c>
      <c r="H10" s="35">
        <v>1</v>
      </c>
      <c r="I10" s="35"/>
      <c r="J10" s="35"/>
      <c r="K10" s="36"/>
    </row>
    <row r="11" spans="1:11" ht="15.75" thickBot="1" x14ac:dyDescent="0.3">
      <c r="G11" s="29"/>
      <c r="H11" s="29"/>
      <c r="I11" s="29"/>
      <c r="J11" s="29"/>
      <c r="K11" s="29"/>
    </row>
    <row r="12" spans="1:11" ht="15.75" thickBot="1" x14ac:dyDescent="0.3">
      <c r="A12" s="45" t="s">
        <v>88</v>
      </c>
      <c r="B12" s="46"/>
      <c r="C12" s="46"/>
      <c r="D12" s="46"/>
      <c r="E12" s="47"/>
      <c r="G12" s="45" t="s">
        <v>88</v>
      </c>
      <c r="H12" s="46"/>
      <c r="I12" s="46"/>
      <c r="J12" s="46"/>
      <c r="K12" s="47"/>
    </row>
    <row r="13" spans="1:11" ht="15" customHeight="1" x14ac:dyDescent="0.25">
      <c r="A13" s="24" t="s">
        <v>89</v>
      </c>
      <c r="B13" s="22">
        <v>100000</v>
      </c>
      <c r="C13" s="50" t="s">
        <v>90</v>
      </c>
      <c r="D13" s="39"/>
      <c r="E13" s="40"/>
      <c r="G13" s="24" t="s">
        <v>89</v>
      </c>
      <c r="H13" s="26">
        <v>100000</v>
      </c>
      <c r="I13" s="50" t="s">
        <v>90</v>
      </c>
      <c r="J13" s="39"/>
      <c r="K13" s="40"/>
    </row>
    <row r="14" spans="1:11" ht="15.75" thickBot="1" x14ac:dyDescent="0.3">
      <c r="A14" s="24" t="s">
        <v>91</v>
      </c>
      <c r="B14" s="22">
        <v>303.14999999999998</v>
      </c>
      <c r="C14" s="39"/>
      <c r="D14" s="39"/>
      <c r="E14" s="40"/>
      <c r="G14" s="24" t="s">
        <v>91</v>
      </c>
      <c r="H14" s="26">
        <v>303.14999999999998</v>
      </c>
      <c r="I14" s="39"/>
      <c r="J14" s="39"/>
      <c r="K14" s="40"/>
    </row>
    <row r="15" spans="1:11" ht="7.5" customHeight="1" thickBot="1" x14ac:dyDescent="0.3">
      <c r="A15" s="30"/>
      <c r="B15" s="31"/>
      <c r="C15" s="41"/>
      <c r="D15" s="41"/>
      <c r="E15" s="42"/>
      <c r="G15" s="30"/>
      <c r="H15" s="32"/>
      <c r="I15" s="41"/>
      <c r="J15" s="41"/>
      <c r="K15" s="42"/>
    </row>
    <row r="16" spans="1:11" x14ac:dyDescent="0.25">
      <c r="A16" s="24" t="s">
        <v>92</v>
      </c>
      <c r="B16" s="22">
        <f>ws_direct_ads_w_pT(B$13,B$14,B$2,B$3,B$4,B$5,B$8,B$6,B$9,B$7,B$10)</f>
        <v>9.2601711846018939E-2</v>
      </c>
      <c r="C16" s="43" t="s">
        <v>93</v>
      </c>
      <c r="D16" s="43"/>
      <c r="E16" s="44"/>
      <c r="G16" s="24" t="s">
        <v>92</v>
      </c>
      <c r="H16" s="26">
        <f>ws_direct_ads_w_pT(H$13,H$14,H$2,H$3,H$4,H$5,H$8,H$6,H$9,H$7,H$10)</f>
        <v>0.47174141126353769</v>
      </c>
      <c r="I16" s="43" t="s">
        <v>93</v>
      </c>
      <c r="J16" s="43"/>
      <c r="K16" s="44"/>
    </row>
    <row r="17" spans="1:11" x14ac:dyDescent="0.25">
      <c r="A17" s="24" t="s">
        <v>94</v>
      </c>
      <c r="B17" s="22">
        <f>ws_direct_ads_p_wT(B$16,B$14,B$2,B$3,B$4,B$5,B$8,B$6,B$9,B$7,B$10)</f>
        <v>100000.00000000003</v>
      </c>
      <c r="C17" s="43" t="s">
        <v>95</v>
      </c>
      <c r="D17" s="43"/>
      <c r="E17" s="44"/>
      <c r="G17" s="24" t="s">
        <v>94</v>
      </c>
      <c r="H17" s="26">
        <f>ws_direct_ads_p_wT(H$16,H$14,H$2,H$3,H$4,H$5,H$8,H$6,H$9,H$7,H$10)</f>
        <v>99999.999999999942</v>
      </c>
      <c r="I17" s="43" t="s">
        <v>95</v>
      </c>
      <c r="J17" s="43"/>
      <c r="K17" s="44"/>
    </row>
    <row r="18" spans="1:11" ht="15.75" thickBot="1" x14ac:dyDescent="0.3">
      <c r="A18" s="24" t="s">
        <v>96</v>
      </c>
      <c r="B18" s="22">
        <f>ws_direct_ads_T_pw(B$13,B$16,B$2,B$3,B$4,B$5,B$8,B$6,B$9,B$7,B$10)</f>
        <v>303.14999999999992</v>
      </c>
      <c r="C18" s="43" t="s">
        <v>97</v>
      </c>
      <c r="D18" s="43"/>
      <c r="E18" s="44"/>
      <c r="G18" s="24" t="s">
        <v>96</v>
      </c>
      <c r="H18" s="26">
        <f>ws_direct_ads_T_pw(H$13,H$16,H$2,H$3,H$4,H$5,H$8,H$6,H$9,H$7,H$10)</f>
        <v>303.14999999999998</v>
      </c>
      <c r="I18" s="43" t="s">
        <v>97</v>
      </c>
      <c r="J18" s="43"/>
      <c r="K18" s="44"/>
    </row>
    <row r="19" spans="1:11" ht="7.5" customHeight="1" thickBot="1" x14ac:dyDescent="0.3">
      <c r="A19" s="30"/>
      <c r="B19" s="31"/>
      <c r="C19" s="41"/>
      <c r="D19" s="41"/>
      <c r="E19" s="42"/>
      <c r="G19" s="30"/>
      <c r="H19" s="32"/>
      <c r="I19" s="41"/>
      <c r="J19" s="41"/>
      <c r="K19" s="42"/>
    </row>
    <row r="20" spans="1:11" x14ac:dyDescent="0.25">
      <c r="A20" s="24" t="s">
        <v>98</v>
      </c>
      <c r="B20" s="22">
        <f>ws_direct_ads_dw_dp_pT(B$13,B$14,B$2,B$3,B$4,B$5,B$8,B$6,B$9,B$7,B$10)</f>
        <v>6.8061628829987338E-7</v>
      </c>
      <c r="C20" s="43" t="s">
        <v>93</v>
      </c>
      <c r="D20" s="43"/>
      <c r="E20" s="44"/>
      <c r="G20" s="24" t="s">
        <v>98</v>
      </c>
      <c r="H20" s="26">
        <f>ws_direct_ads_dw_dp_pT(H$13,H$14,H$2,H$3,H$4,H$5,H$8,H$6,H$9,H$7,H$10)</f>
        <v>1.5629671760335083E-6</v>
      </c>
      <c r="I20" s="43" t="s">
        <v>93</v>
      </c>
      <c r="J20" s="43"/>
      <c r="K20" s="44"/>
    </row>
    <row r="21" spans="1:11" x14ac:dyDescent="0.25">
      <c r="A21" s="24" t="s">
        <v>99</v>
      </c>
      <c r="B21" s="22">
        <f>ws_direct_ads_dw_dT_pT(B$13,B$14,B$2,B$3,B$4,B$5,B$8,B$6,B$9,B$7,B$10)</f>
        <v>-2.0932488827288646E-3</v>
      </c>
      <c r="C21" s="43" t="s">
        <v>93</v>
      </c>
      <c r="D21" s="43"/>
      <c r="E21" s="44"/>
      <c r="G21" s="24" t="s">
        <v>99</v>
      </c>
      <c r="H21" s="26">
        <f>ws_direct_ads_dw_dT_pT(H$13,H$14,H$2,H$3,H$4,H$5,H$8,H$6,H$9,H$7,H$10)</f>
        <v>-5.0736787920399916E-3</v>
      </c>
      <c r="I21" s="43" t="s">
        <v>93</v>
      </c>
      <c r="J21" s="43"/>
      <c r="K21" s="44"/>
    </row>
    <row r="22" spans="1:11" x14ac:dyDescent="0.25">
      <c r="A22" s="24" t="s">
        <v>100</v>
      </c>
      <c r="B22" s="22">
        <f>ws_direct_ads_dp_dw_wT(B$16,B$14,B$2,B$3,B$4,B$5,B$8,B$6,B$9,B$7,B$10)</f>
        <v>1469256.6387118392</v>
      </c>
      <c r="C22" s="43" t="s">
        <v>95</v>
      </c>
      <c r="D22" s="43"/>
      <c r="E22" s="44"/>
      <c r="G22" s="24" t="s">
        <v>100</v>
      </c>
      <c r="H22" s="26">
        <f>ws_direct_ads_dp_dw_wT(H$16,H$14,H$2,H$3,H$4,H$5,H$8,H$6,H$9,H$7,H$10)</f>
        <v>639808.70189340471</v>
      </c>
      <c r="I22" s="43" t="s">
        <v>95</v>
      </c>
      <c r="J22" s="43"/>
      <c r="K22" s="44"/>
    </row>
    <row r="23" spans="1:11" ht="15.75" thickBot="1" x14ac:dyDescent="0.3">
      <c r="A23" s="24" t="s">
        <v>101</v>
      </c>
      <c r="B23" s="22">
        <f>ws_direct_ads_dp_dT_wT(B$16,B$14,B$2,B$3,B$4,B$5,B$8,B$6,B$9,B$7,B$10)</f>
        <v>3075.5198174255252</v>
      </c>
      <c r="C23" s="43" t="s">
        <v>95</v>
      </c>
      <c r="D23" s="43"/>
      <c r="E23" s="44"/>
      <c r="G23" s="24" t="s">
        <v>101</v>
      </c>
      <c r="H23" s="26">
        <f>ws_direct_ads_dp_dT_wT(H$16,H$14,H$2,H$3,H$4,H$5,H$8,H$6,H$9,H$7,H$10)</f>
        <v>3246.1838417592048</v>
      </c>
      <c r="I23" s="43" t="s">
        <v>95</v>
      </c>
      <c r="J23" s="43"/>
      <c r="K23" s="44"/>
    </row>
    <row r="24" spans="1:11" ht="7.5" customHeight="1" thickBot="1" x14ac:dyDescent="0.3">
      <c r="A24" s="30"/>
      <c r="B24" s="31"/>
      <c r="C24" s="41"/>
      <c r="D24" s="41"/>
      <c r="E24" s="42"/>
      <c r="G24" s="30"/>
      <c r="H24" s="32"/>
      <c r="I24" s="41"/>
      <c r="J24" s="41"/>
      <c r="K24" s="42"/>
    </row>
    <row r="25" spans="1:11" ht="15.75" thickBot="1" x14ac:dyDescent="0.3">
      <c r="A25" s="25" t="s">
        <v>103</v>
      </c>
      <c r="B25" s="21">
        <f>ws_direct_ads_piStar_pyxgTM(B$13,1,1,1,B$14,0.044011,B$2,B$3,B$4,B$5,B$8,B$6,B$9,B$7,B$10)</f>
        <v>2.4445674795069006</v>
      </c>
      <c r="C25" s="35" t="s">
        <v>104</v>
      </c>
      <c r="D25" s="35"/>
      <c r="E25" s="36"/>
      <c r="G25" s="25" t="s">
        <v>103</v>
      </c>
      <c r="H25" s="27">
        <f>ws_direct_ads_piStar_pyxgTM(H$13,1,1,1,H$14,0.0441,H$2,H$3,H$4,H$5,H$8,H$6,H$9,H$7,H$10)</f>
        <v>28.098666213362783</v>
      </c>
      <c r="I25" s="35" t="s">
        <v>104</v>
      </c>
      <c r="J25" s="35"/>
      <c r="K25" s="36"/>
    </row>
    <row r="26" spans="1:11" ht="15.75" thickBot="1" x14ac:dyDescent="0.3">
      <c r="C26" s="54"/>
      <c r="D26" s="54"/>
      <c r="E26" s="54"/>
    </row>
    <row r="27" spans="1:11" ht="15" customHeight="1" thickBot="1" x14ac:dyDescent="0.3">
      <c r="A27" s="29"/>
      <c r="B27" s="29"/>
      <c r="C27" s="34"/>
      <c r="D27" s="34"/>
      <c r="E27" s="34"/>
      <c r="G27" s="45" t="s">
        <v>106</v>
      </c>
      <c r="H27" s="46"/>
      <c r="I27" s="46"/>
      <c r="J27" s="46"/>
      <c r="K27" s="47"/>
    </row>
    <row r="28" spans="1:11" ht="15" customHeight="1" x14ac:dyDescent="0.25">
      <c r="A28" s="29"/>
      <c r="B28" s="29"/>
      <c r="C28" s="34"/>
      <c r="D28" s="34"/>
      <c r="E28" s="34"/>
      <c r="G28" s="33" t="s">
        <v>108</v>
      </c>
      <c r="H28" s="28">
        <f>ws_direct_ref_p_sat_T(H$14,H$2,H$3,H$4,H$5,H$8,H$6,H$9,H$7,H$10)</f>
        <v>1078982.9808840861</v>
      </c>
      <c r="I28" s="37" t="s">
        <v>109</v>
      </c>
      <c r="J28" s="37"/>
      <c r="K28" s="38"/>
    </row>
    <row r="29" spans="1:11" s="29" customFormat="1" ht="15" customHeight="1" x14ac:dyDescent="0.25">
      <c r="G29" s="24" t="s">
        <v>107</v>
      </c>
      <c r="H29" s="26">
        <f>ws_direct_ref_rho_l_T(H$14,H$2,H$3,H$4,H$5,H$8,H$6,H$9,H$7,H$10)</f>
        <v>484.40586692077261</v>
      </c>
      <c r="I29" s="39" t="s">
        <v>109</v>
      </c>
      <c r="J29" s="39"/>
      <c r="K29" s="40"/>
    </row>
    <row r="30" spans="1:11" s="29" customFormat="1" ht="15" customHeight="1" x14ac:dyDescent="0.25">
      <c r="G30" s="24" t="s">
        <v>110</v>
      </c>
      <c r="H30" s="26">
        <f>ws_direct_ref_dp_sat_dT_T(H$14,H$2,H$3,H$4,H$5,H$8,H$6,H$9,H$7,H$10)</f>
        <v>26559.753562961749</v>
      </c>
      <c r="I30" s="39" t="s">
        <v>109</v>
      </c>
      <c r="J30" s="39"/>
      <c r="K30" s="40"/>
    </row>
    <row r="31" spans="1:11" ht="15.75" thickBot="1" x14ac:dyDescent="0.3">
      <c r="A31" s="29"/>
      <c r="B31" s="29"/>
      <c r="C31" s="34"/>
      <c r="D31" s="34"/>
      <c r="E31" s="34"/>
      <c r="G31" s="25" t="s">
        <v>111</v>
      </c>
      <c r="H31" s="27">
        <f>ws_direct_ref_drho_l_dT_T(H$14,H$2,H$3,H$4,H$5,H$8,H$6,H$9,H$7,H$10)</f>
        <v>-1.6244472162284675</v>
      </c>
      <c r="I31" s="48" t="s">
        <v>109</v>
      </c>
      <c r="J31" s="48"/>
      <c r="K31" s="49"/>
    </row>
    <row r="32" spans="1:11" s="29" customFormat="1" ht="7.5" customHeight="1" thickBot="1" x14ac:dyDescent="0.3">
      <c r="C32" s="34"/>
      <c r="D32" s="34"/>
      <c r="E32" s="34"/>
      <c r="G32" s="30"/>
      <c r="H32" s="32"/>
      <c r="I32" s="41"/>
      <c r="J32" s="41"/>
      <c r="K32" s="42"/>
    </row>
    <row r="33" spans="1:11" s="29" customFormat="1" x14ac:dyDescent="0.25">
      <c r="C33" s="34"/>
      <c r="D33" s="34"/>
      <c r="E33" s="34"/>
      <c r="G33" s="24" t="s">
        <v>112</v>
      </c>
      <c r="H33" s="26">
        <f>8.314462618*H$18*LN(H$28/H$13)</f>
        <v>5995.3411919128348</v>
      </c>
      <c r="I33" s="43" t="s">
        <v>114</v>
      </c>
      <c r="J33" s="43"/>
      <c r="K33" s="44"/>
    </row>
    <row r="34" spans="1:11" s="29" customFormat="1" x14ac:dyDescent="0.25">
      <c r="C34" s="34"/>
      <c r="D34" s="34"/>
      <c r="E34" s="34"/>
      <c r="G34" s="24" t="s">
        <v>113</v>
      </c>
      <c r="H34" s="26">
        <f>ws_direct_ads_W_ARho(H$33,H$29,H$2,H$3,H$4,H$5,H$8,H$6,H$9,H$7,H$10)</f>
        <v>9.7385569712061268E-4</v>
      </c>
      <c r="I34" s="43" t="s">
        <v>116</v>
      </c>
      <c r="J34" s="43"/>
      <c r="K34" s="44"/>
    </row>
    <row r="35" spans="1:11" s="29" customFormat="1" x14ac:dyDescent="0.25">
      <c r="C35" s="34"/>
      <c r="D35" s="34"/>
      <c r="E35" s="34"/>
      <c r="G35" s="24" t="s">
        <v>112</v>
      </c>
      <c r="H35" s="26">
        <f>ws_direct_ads_A_WRho(H$34,H$29,H$2,H$3,H$4,H$5,H$8,H$6,H$9,H$7,H$10)</f>
        <v>5995.3411919128366</v>
      </c>
      <c r="I35" s="43" t="s">
        <v>117</v>
      </c>
      <c r="J35" s="43"/>
      <c r="K35" s="44"/>
    </row>
    <row r="36" spans="1:11" s="29" customFormat="1" x14ac:dyDescent="0.25">
      <c r="C36" s="34"/>
      <c r="D36" s="34"/>
      <c r="E36" s="34"/>
      <c r="G36" s="24" t="s">
        <v>115</v>
      </c>
      <c r="H36" s="26">
        <f>ws_direct_ads_dW_dA_ARho(H$33,H$29,H$2,H$3,H$4,H$5,H$8,H$6,H$9,H$7,H$10)</f>
        <v>-1.2801141682596236E-7</v>
      </c>
      <c r="I36" s="43" t="s">
        <v>116</v>
      </c>
      <c r="J36" s="43"/>
      <c r="K36" s="44"/>
    </row>
    <row r="37" spans="1:11" s="29" customFormat="1" ht="15.75" thickBot="1" x14ac:dyDescent="0.3">
      <c r="C37" s="34"/>
      <c r="D37" s="34"/>
      <c r="E37" s="34"/>
      <c r="G37" s="24" t="s">
        <v>118</v>
      </c>
      <c r="H37" s="26">
        <f>ws_direct_ads_dA_dW_WRho(H$34,H$29,H$2,H$3,H$4,H$5,H$8,H$6,H$9,H$7,H$10)</f>
        <v>-7811803.2343907868</v>
      </c>
      <c r="I37" s="43" t="s">
        <v>117</v>
      </c>
      <c r="J37" s="43"/>
      <c r="K37" s="44"/>
    </row>
    <row r="38" spans="1:11" ht="7.5" customHeight="1" thickBot="1" x14ac:dyDescent="0.3">
      <c r="A38" s="29"/>
      <c r="B38" s="29"/>
      <c r="C38" s="34"/>
      <c r="D38" s="34"/>
      <c r="E38" s="34"/>
      <c r="G38" s="30"/>
      <c r="H38" s="32"/>
      <c r="I38" s="41"/>
      <c r="J38" s="41"/>
      <c r="K38" s="42"/>
    </row>
    <row r="39" spans="1:11" x14ac:dyDescent="0.25">
      <c r="A39" s="29"/>
      <c r="B39" s="29"/>
      <c r="C39" s="34"/>
      <c r="D39" s="34"/>
      <c r="E39" s="34"/>
      <c r="G39" s="24" t="s">
        <v>92</v>
      </c>
      <c r="H39" s="26">
        <f>ws_direct_ads_w_pT(H$13,H$14,H$2,H$3,H$4,H$5,H$8,H$6,H$9,H$7,H$10)</f>
        <v>0.47174141126353769</v>
      </c>
      <c r="I39" s="43" t="s">
        <v>93</v>
      </c>
      <c r="J39" s="43"/>
      <c r="K39" s="44"/>
    </row>
    <row r="40" spans="1:11" x14ac:dyDescent="0.25">
      <c r="A40" s="29"/>
      <c r="B40" s="29"/>
      <c r="C40" s="34"/>
      <c r="D40" s="34"/>
      <c r="E40" s="34"/>
      <c r="G40" s="24" t="s">
        <v>94</v>
      </c>
      <c r="H40" s="26">
        <f>ws_direct_ads_p_wT(H$16,H$14,H$2,H$3,H$4,H$5,H$8,H$6,H$9,H$7,H$10)</f>
        <v>99999.999999999942</v>
      </c>
      <c r="I40" s="43" t="s">
        <v>95</v>
      </c>
      <c r="J40" s="43"/>
      <c r="K40" s="44"/>
    </row>
    <row r="41" spans="1:11" ht="15.75" thickBot="1" x14ac:dyDescent="0.3">
      <c r="A41" s="29"/>
      <c r="B41" s="29"/>
      <c r="C41" s="34"/>
      <c r="D41" s="34"/>
      <c r="E41" s="34"/>
      <c r="G41" s="24" t="s">
        <v>96</v>
      </c>
      <c r="H41" s="26">
        <f>ws_direct_ads_T_pw(H$13,H$16,H$2,H$3,H$4,H$5,H$8,H$6,H$9,H$7,H$10)</f>
        <v>303.14999999999998</v>
      </c>
      <c r="I41" s="43" t="s">
        <v>97</v>
      </c>
      <c r="J41" s="43"/>
      <c r="K41" s="44"/>
    </row>
    <row r="42" spans="1:11" ht="7.5" customHeight="1" thickBot="1" x14ac:dyDescent="0.3">
      <c r="A42" s="29"/>
      <c r="B42" s="29"/>
      <c r="C42" s="34"/>
      <c r="D42" s="34"/>
      <c r="E42" s="34"/>
      <c r="G42" s="30"/>
      <c r="H42" s="32"/>
      <c r="I42" s="41"/>
      <c r="J42" s="41"/>
      <c r="K42" s="42"/>
    </row>
    <row r="43" spans="1:11" x14ac:dyDescent="0.25">
      <c r="A43" s="29"/>
      <c r="B43" s="29"/>
      <c r="C43" s="34"/>
      <c r="D43" s="34"/>
      <c r="E43" s="34"/>
      <c r="G43" s="24" t="s">
        <v>98</v>
      </c>
      <c r="H43" s="26">
        <f>ws_direct_ads_dw_dp_pT(H$13,H$14,H$2,H$3,H$4,H$5,H$8,H$6,H$9,H$7,H$10)</f>
        <v>1.5629671760335083E-6</v>
      </c>
      <c r="I43" s="43" t="s">
        <v>93</v>
      </c>
      <c r="J43" s="43"/>
      <c r="K43" s="44"/>
    </row>
    <row r="44" spans="1:11" x14ac:dyDescent="0.25">
      <c r="A44" s="29"/>
      <c r="B44" s="29"/>
      <c r="C44" s="34"/>
      <c r="D44" s="34"/>
      <c r="E44" s="34"/>
      <c r="G44" s="24" t="s">
        <v>99</v>
      </c>
      <c r="H44" s="26">
        <f>ws_direct_ads_dw_dT_pT(H$13,H$14,H$2,H$3,H$4,H$5,H$8,H$6,H$9,H$7,H$10)</f>
        <v>-5.0736787920399916E-3</v>
      </c>
      <c r="I44" s="43" t="s">
        <v>93</v>
      </c>
      <c r="J44" s="43"/>
      <c r="K44" s="44"/>
    </row>
    <row r="45" spans="1:11" x14ac:dyDescent="0.25">
      <c r="A45" s="29"/>
      <c r="B45" s="29"/>
      <c r="C45" s="34"/>
      <c r="D45" s="34"/>
      <c r="E45" s="34"/>
      <c r="G45" s="24" t="s">
        <v>100</v>
      </c>
      <c r="H45" s="26">
        <f>ws_direct_ads_dp_dw_wT(H$16,H$14,H$2,H$3,H$4,H$5,H$8,H$6,H$9,H$7,H$10)</f>
        <v>639808.70189340471</v>
      </c>
      <c r="I45" s="43" t="s">
        <v>95</v>
      </c>
      <c r="J45" s="43"/>
      <c r="K45" s="44"/>
    </row>
    <row r="46" spans="1:11" ht="15.75" thickBot="1" x14ac:dyDescent="0.3">
      <c r="A46" s="29"/>
      <c r="B46" s="29"/>
      <c r="C46" s="34"/>
      <c r="D46" s="34"/>
      <c r="E46" s="34"/>
      <c r="G46" s="24" t="s">
        <v>101</v>
      </c>
      <c r="H46" s="26">
        <f>ws_direct_ads_dp_dT_wT(H$16,H$14,H$2,H$3,H$4,H$5,H$8,H$6,H$9,H$7,H$10)</f>
        <v>3246.1838417592048</v>
      </c>
      <c r="I46" s="43" t="s">
        <v>95</v>
      </c>
      <c r="J46" s="43"/>
      <c r="K46" s="44"/>
    </row>
    <row r="47" spans="1:11" ht="7.5" customHeight="1" thickBot="1" x14ac:dyDescent="0.3">
      <c r="C47" s="54"/>
      <c r="D47" s="54"/>
      <c r="E47" s="54"/>
      <c r="G47" s="30"/>
      <c r="H47" s="32"/>
      <c r="I47" s="41"/>
      <c r="J47" s="41"/>
      <c r="K47" s="42"/>
    </row>
    <row r="48" spans="1:11" ht="15.75" thickBot="1" x14ac:dyDescent="0.3">
      <c r="G48" s="25" t="s">
        <v>103</v>
      </c>
      <c r="H48" s="27">
        <f>ws_direct_ads_piStar_pyxgTM(H$13,1,1,1,H$14,0.0441,H$2,H$3,H$4,H$5,H$8,H$6,H$9,H$7,H$10)</f>
        <v>28.098666213362783</v>
      </c>
      <c r="I48" s="35" t="s">
        <v>104</v>
      </c>
      <c r="J48" s="35"/>
      <c r="K48" s="36"/>
    </row>
  </sheetData>
  <mergeCells count="70">
    <mergeCell ref="B6:E6"/>
    <mergeCell ref="A1:E1"/>
    <mergeCell ref="B2:E2"/>
    <mergeCell ref="B3:E3"/>
    <mergeCell ref="B4:E4"/>
    <mergeCell ref="B5:E5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C47:E47"/>
    <mergeCell ref="C21:E21"/>
    <mergeCell ref="C22:E22"/>
    <mergeCell ref="C23:E23"/>
    <mergeCell ref="C24:E24"/>
    <mergeCell ref="C25:E25"/>
    <mergeCell ref="C26:E26"/>
    <mergeCell ref="G1:K1"/>
    <mergeCell ref="H2:K2"/>
    <mergeCell ref="H3:K3"/>
    <mergeCell ref="H4:K4"/>
    <mergeCell ref="H5:K5"/>
    <mergeCell ref="H6:K6"/>
    <mergeCell ref="H7:K7"/>
    <mergeCell ref="H8:K8"/>
    <mergeCell ref="H9:K9"/>
    <mergeCell ref="H10:K10"/>
    <mergeCell ref="G12:K12"/>
    <mergeCell ref="I13:K14"/>
    <mergeCell ref="I15:K15"/>
    <mergeCell ref="I16:K16"/>
    <mergeCell ref="I17:K17"/>
    <mergeCell ref="I23:K23"/>
    <mergeCell ref="I24:K24"/>
    <mergeCell ref="I25:K25"/>
    <mergeCell ref="I18:K18"/>
    <mergeCell ref="I19:K19"/>
    <mergeCell ref="I20:K20"/>
    <mergeCell ref="I21:K21"/>
    <mergeCell ref="I22:K22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4"/>
  </sheetPr>
  <dimension ref="A1:AW27"/>
  <sheetViews>
    <sheetView zoomScaleNormal="100" workbookViewId="0">
      <selection activeCell="A2" sqref="A2:C2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60" t="s">
        <v>119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2"/>
    </row>
    <row r="2" spans="1:49" x14ac:dyDescent="0.25">
      <c r="A2" s="55" t="s">
        <v>51</v>
      </c>
      <c r="B2" s="56"/>
      <c r="C2" s="56"/>
      <c r="D2" s="16" t="s">
        <v>52</v>
      </c>
      <c r="E2" s="1"/>
      <c r="F2" s="55" t="s">
        <v>53</v>
      </c>
      <c r="G2" s="56"/>
      <c r="H2" s="56"/>
      <c r="I2" s="16" t="s">
        <v>54</v>
      </c>
      <c r="J2" s="1"/>
      <c r="K2" s="55" t="s">
        <v>55</v>
      </c>
      <c r="L2" s="56"/>
      <c r="M2" s="56"/>
      <c r="N2" s="16" t="s">
        <v>56</v>
      </c>
      <c r="O2" s="1"/>
      <c r="P2" s="55" t="s">
        <v>58</v>
      </c>
      <c r="Q2" s="56"/>
      <c r="R2" s="56"/>
      <c r="S2" s="16" t="s">
        <v>59</v>
      </c>
      <c r="T2" s="1"/>
      <c r="U2" s="55" t="s">
        <v>60</v>
      </c>
      <c r="V2" s="56"/>
      <c r="W2" s="56"/>
      <c r="X2" s="16" t="s">
        <v>61</v>
      </c>
      <c r="Y2" s="1"/>
      <c r="Z2" s="55" t="s">
        <v>62</v>
      </c>
      <c r="AA2" s="56"/>
      <c r="AB2" s="56"/>
      <c r="AC2" s="16" t="s">
        <v>63</v>
      </c>
      <c r="AD2" s="1"/>
      <c r="AE2" s="55" t="s">
        <v>64</v>
      </c>
      <c r="AF2" s="56"/>
      <c r="AG2" s="56"/>
      <c r="AH2" s="16" t="s">
        <v>65</v>
      </c>
      <c r="AI2" s="1"/>
      <c r="AJ2" s="55" t="s">
        <v>66</v>
      </c>
      <c r="AK2" s="56"/>
      <c r="AL2" s="56"/>
      <c r="AM2" s="16" t="s">
        <v>67</v>
      </c>
      <c r="AN2" s="1"/>
      <c r="AO2" s="55" t="s">
        <v>42</v>
      </c>
      <c r="AP2" s="56"/>
      <c r="AQ2" s="56"/>
      <c r="AR2" s="16" t="s">
        <v>43</v>
      </c>
      <c r="AS2" s="1"/>
      <c r="AT2" s="55" t="s">
        <v>68</v>
      </c>
      <c r="AU2" s="56"/>
      <c r="AV2" s="56"/>
      <c r="AW2" s="16" t="s">
        <v>69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19642.900000000001</v>
      </c>
      <c r="B5" s="1">
        <v>278.14999999999998</v>
      </c>
      <c r="C5" s="4">
        <v>0.94693899999999998</v>
      </c>
      <c r="D5" s="10">
        <f>ws_direct_ads_w_pT(A5,B5,$E$22,$E$23,$E$24,$E$25,$N$25,$E$26,$N$26,$E$27,$N$27)</f>
        <v>0.91800516082084427</v>
      </c>
      <c r="E5" s="1"/>
      <c r="F5" s="3">
        <v>57142.9</v>
      </c>
      <c r="G5" s="1">
        <v>288.14999999999998</v>
      </c>
      <c r="H5" s="4">
        <v>1.2</v>
      </c>
      <c r="I5" s="10">
        <f t="shared" ref="I5:I9" si="0">ws_direct_ads_w_pT(F5,G5,$E$22,$E$23,$E$24,$E$25,$N$25,$E$26,$N$26,$E$27,$N$27)</f>
        <v>1.1795385418571682</v>
      </c>
      <c r="J5" s="1"/>
      <c r="K5" s="3">
        <v>48214.3</v>
      </c>
      <c r="L5" s="1">
        <v>293.14999999999998</v>
      </c>
      <c r="M5" s="4">
        <v>1.0530600000000001</v>
      </c>
      <c r="N5" s="10">
        <f t="shared" ref="N5:N14" si="1">ws_direct_ads_w_pT(K5,L5,$E$22,$E$23,$E$24,$E$25,$N$25,$E$26,$N$26,$E$27,$N$27)</f>
        <v>1.0211459682800448</v>
      </c>
      <c r="O5" s="1"/>
      <c r="P5" s="3">
        <v>55357.1</v>
      </c>
      <c r="Q5" s="15">
        <v>298.14999999999998</v>
      </c>
      <c r="R5" s="4">
        <v>0.99591799999999997</v>
      </c>
      <c r="S5" s="10">
        <f>ws_direct_ads_w_pT(P5,Q5,$E$22,$E$23,$E$24,$E$25,$N$25,$E$26,$N$26,$E$27,$N$27)</f>
        <v>0.99818127454877248</v>
      </c>
      <c r="T5" s="1"/>
      <c r="U5" s="3">
        <v>62500</v>
      </c>
      <c r="V5" s="15">
        <v>308.14999999999998</v>
      </c>
      <c r="W5" s="4">
        <v>0.89795899999999995</v>
      </c>
      <c r="X5" s="10">
        <f>ws_direct_ads_w_pT(U5,V5,$E$22,$E$23,$E$24,$E$25,$N$25,$E$26,$N$26,$E$27,$N$27)</f>
        <v>0.89663110299708904</v>
      </c>
      <c r="Y5" s="1"/>
      <c r="Z5" s="3">
        <v>73214.3</v>
      </c>
      <c r="AA5" s="15">
        <v>318.14999999999998</v>
      </c>
      <c r="AB5" s="4">
        <v>0.81632700000000002</v>
      </c>
      <c r="AC5" s="10">
        <f>ws_direct_ads_w_pT(Z5,AA5,$E$22,$E$23,$E$24,$E$25,$N$25,$E$26,$N$26,$E$27,$N$27)</f>
        <v>0.82028796698910023</v>
      </c>
      <c r="AD5" s="1"/>
      <c r="AE5" s="3">
        <v>82142.900000000009</v>
      </c>
      <c r="AF5" s="15">
        <v>328.15</v>
      </c>
      <c r="AG5" s="4">
        <v>0.71836699999999998</v>
      </c>
      <c r="AH5" s="10">
        <f>ws_direct_ads_w_pT(AE5,AF5,$E$22,$E$23,$E$24,$E$25,$N$25,$E$26,$N$26,$E$27,$N$27)</f>
        <v>0.73704423119085993</v>
      </c>
      <c r="AI5" s="1"/>
      <c r="AJ5" s="3">
        <v>89285.7</v>
      </c>
      <c r="AK5" s="15">
        <v>338.15</v>
      </c>
      <c r="AL5" s="4">
        <v>0.63673500000000005</v>
      </c>
      <c r="AM5" s="10">
        <f>ws_direct_ads_w_pT(AJ5,AK5,$E$22,$E$23,$E$24,$E$25,$N$25,$E$26,$N$26,$E$27,$N$27)</f>
        <v>0.652162106146979</v>
      </c>
      <c r="AN5" s="1"/>
      <c r="AO5" s="3">
        <v>96428.6</v>
      </c>
      <c r="AP5" s="15">
        <v>348.15</v>
      </c>
      <c r="AQ5" s="4">
        <v>0.57142899999999996</v>
      </c>
      <c r="AR5" s="10">
        <f>ws_direct_ads_w_pT(AO5,AP5,$E$22,$E$23,$E$24,$E$25,$N$25,$E$26,$N$26,$E$27,$N$27)</f>
        <v>0.57465115969390512</v>
      </c>
      <c r="AS5" s="1"/>
      <c r="AT5" s="3">
        <v>105357</v>
      </c>
      <c r="AU5" s="15">
        <v>358.15</v>
      </c>
      <c r="AV5" s="4">
        <v>0.49795899999999998</v>
      </c>
      <c r="AW5" s="10">
        <f>ws_direct_ads_w_pT(AT5,AU5,$E$22,$E$23,$E$24,$E$25,$N$25,$E$26,$N$26,$E$27,$N$27)</f>
        <v>0.50907483474775539</v>
      </c>
    </row>
    <row r="6" spans="1:49" x14ac:dyDescent="0.25">
      <c r="A6" s="3">
        <v>58928.6</v>
      </c>
      <c r="B6" s="1">
        <v>278.14999999999998</v>
      </c>
      <c r="C6" s="4">
        <v>1.4367300000000001</v>
      </c>
      <c r="D6" s="10">
        <f>ws_direct_ads_w_pT(A6,B6,$E$22,$E$23,$E$24,$E$25,$N$25,$E$26,$N$26,$E$27,$N$27)</f>
        <v>1.3804777591856208</v>
      </c>
      <c r="E6" s="1"/>
      <c r="F6" s="3">
        <v>144643</v>
      </c>
      <c r="G6" s="1">
        <v>288.14999999999998</v>
      </c>
      <c r="H6" s="4">
        <v>1.7061200000000001</v>
      </c>
      <c r="I6" s="10">
        <f t="shared" si="0"/>
        <v>1.63763193181705</v>
      </c>
      <c r="J6" s="1"/>
      <c r="K6" s="3">
        <v>78571.399999999994</v>
      </c>
      <c r="L6" s="1">
        <v>293.14999999999998</v>
      </c>
      <c r="M6" s="4">
        <v>1.2081599999999999</v>
      </c>
      <c r="N6" s="10">
        <f t="shared" si="1"/>
        <v>1.2371409493759764</v>
      </c>
      <c r="O6" s="1"/>
      <c r="P6" s="3">
        <v>83928.6</v>
      </c>
      <c r="Q6" s="15">
        <v>298.14999999999998</v>
      </c>
      <c r="R6" s="4">
        <v>1.1673500000000001</v>
      </c>
      <c r="S6" s="10">
        <f t="shared" ref="S6:S15" si="2">ws_direct_ads_w_pT(P6,Q6,$E$22,$E$23,$E$24,$E$25,$N$25,$E$26,$N$26,$E$27,$N$27)</f>
        <v>1.1810358738921614</v>
      </c>
      <c r="T6" s="1"/>
      <c r="U6" s="3">
        <v>91071.4</v>
      </c>
      <c r="V6" s="15">
        <v>308.14999999999998</v>
      </c>
      <c r="W6" s="4">
        <v>1.0530600000000001</v>
      </c>
      <c r="X6" s="10">
        <f t="shared" ref="X6:X15" si="3">ws_direct_ads_w_pT(U6,V6,$E$22,$E$23,$E$24,$E$25,$N$25,$E$26,$N$26,$E$27,$N$27)</f>
        <v>1.0547924113105995</v>
      </c>
      <c r="Y6" s="1"/>
      <c r="Z6" s="3">
        <v>103571</v>
      </c>
      <c r="AA6" s="15">
        <v>318.14999999999998</v>
      </c>
      <c r="AB6" s="4">
        <v>0.95510200000000001</v>
      </c>
      <c r="AC6" s="10">
        <f t="shared" ref="AC6:AC15" si="4">ws_direct_ads_w_pT(Z6,AA6,$E$22,$E$23,$E$24,$E$25,$N$25,$E$26,$N$26,$E$27,$N$27)</f>
        <v>0.96091574876885855</v>
      </c>
      <c r="AD6" s="1"/>
      <c r="AE6" s="3">
        <v>114286</v>
      </c>
      <c r="AF6" s="15">
        <v>328.15</v>
      </c>
      <c r="AG6" s="4">
        <v>0.86530600000000002</v>
      </c>
      <c r="AH6" s="10">
        <f t="shared" ref="AH6:AH15" si="5">ws_direct_ads_w_pT(AE6,AF6,$E$22,$E$23,$E$24,$E$25,$N$25,$E$26,$N$26,$E$27,$N$27)</f>
        <v>0.86430778528153185</v>
      </c>
      <c r="AI6" s="1"/>
      <c r="AJ6" s="3">
        <v>125000</v>
      </c>
      <c r="AK6" s="15">
        <v>338.15</v>
      </c>
      <c r="AL6" s="4">
        <v>0.767347</v>
      </c>
      <c r="AM6" s="10">
        <f t="shared" ref="AM6:AM15" si="6">ws_direct_ads_w_pT(AJ6,AK6,$E$22,$E$23,$E$24,$E$25,$N$25,$E$26,$N$26,$E$27,$N$27)</f>
        <v>0.77404151689892309</v>
      </c>
      <c r="AN6" s="1"/>
      <c r="AO6" s="3">
        <v>135714</v>
      </c>
      <c r="AP6" s="15">
        <v>348.15</v>
      </c>
      <c r="AQ6" s="4">
        <v>0.68571400000000005</v>
      </c>
      <c r="AR6" s="10">
        <f t="shared" ref="AR6:AR15" si="7">ws_direct_ads_w_pT(AO6,AP6,$E$22,$E$23,$E$24,$E$25,$N$25,$E$26,$N$26,$E$27,$N$27)</f>
        <v>0.69023227878060067</v>
      </c>
      <c r="AS6" s="1"/>
      <c r="AT6" s="3">
        <v>142857</v>
      </c>
      <c r="AU6" s="15">
        <v>358.15</v>
      </c>
      <c r="AV6" s="4">
        <v>0.60408200000000001</v>
      </c>
      <c r="AW6" s="10">
        <f t="shared" ref="AW6:AW15" si="8">ws_direct_ads_w_pT(AT6,AU6,$E$22,$E$23,$E$24,$E$25,$N$25,$E$26,$N$26,$E$27,$N$27)</f>
        <v>0.60440679229401806</v>
      </c>
    </row>
    <row r="7" spans="1:49" x14ac:dyDescent="0.25">
      <c r="A7" s="3">
        <v>117857</v>
      </c>
      <c r="B7" s="1">
        <v>278.14999999999998</v>
      </c>
      <c r="C7" s="4">
        <v>1.8530599999999999</v>
      </c>
      <c r="D7" s="10">
        <f>ws_direct_ads_w_pT(A7,B7,$E$22,$E$23,$E$24,$E$25,$N$25,$E$26,$N$26,$E$27,$N$27)</f>
        <v>1.7263688936889892</v>
      </c>
      <c r="E7" s="1"/>
      <c r="F7" s="3">
        <v>278571</v>
      </c>
      <c r="G7" s="1">
        <v>288.14999999999998</v>
      </c>
      <c r="H7" s="4">
        <v>2.0734699999999999</v>
      </c>
      <c r="I7" s="10">
        <f t="shared" si="0"/>
        <v>1.9844465875094048</v>
      </c>
      <c r="J7" s="1"/>
      <c r="K7" s="3">
        <v>112500</v>
      </c>
      <c r="L7" s="1">
        <v>293.14999999999998</v>
      </c>
      <c r="M7" s="4">
        <v>1.3714299999999999</v>
      </c>
      <c r="N7" s="10">
        <f t="shared" si="1"/>
        <v>1.4126693556443231</v>
      </c>
      <c r="O7" s="1"/>
      <c r="P7" s="3">
        <v>117857</v>
      </c>
      <c r="Q7" s="15">
        <v>298.14999999999998</v>
      </c>
      <c r="R7" s="4">
        <v>1.3224499999999999</v>
      </c>
      <c r="S7" s="10">
        <f t="shared" si="2"/>
        <v>1.3452664936532306</v>
      </c>
      <c r="T7" s="1"/>
      <c r="U7" s="3">
        <v>130357</v>
      </c>
      <c r="V7" s="15">
        <v>308.14999999999998</v>
      </c>
      <c r="W7" s="4">
        <v>1.2</v>
      </c>
      <c r="X7" s="10">
        <f t="shared" si="3"/>
        <v>1.2226363190148235</v>
      </c>
      <c r="Y7" s="1"/>
      <c r="Z7" s="3">
        <v>142857</v>
      </c>
      <c r="AA7" s="15">
        <v>318.14999999999998</v>
      </c>
      <c r="AB7" s="4">
        <v>1.09388</v>
      </c>
      <c r="AC7" s="10">
        <f t="shared" si="4"/>
        <v>1.1063475827393829</v>
      </c>
      <c r="AD7" s="1"/>
      <c r="AE7" s="3">
        <v>155357</v>
      </c>
      <c r="AF7" s="15">
        <v>328.15</v>
      </c>
      <c r="AG7" s="4">
        <v>1.0040800000000001</v>
      </c>
      <c r="AH7" s="10">
        <f t="shared" si="5"/>
        <v>0.99702973868085765</v>
      </c>
      <c r="AI7" s="1"/>
      <c r="AJ7" s="3">
        <v>167857</v>
      </c>
      <c r="AK7" s="15">
        <v>338.15</v>
      </c>
      <c r="AL7" s="4">
        <v>0.88979600000000003</v>
      </c>
      <c r="AM7" s="10">
        <f t="shared" si="6"/>
        <v>0.89495759500844252</v>
      </c>
      <c r="AN7" s="1"/>
      <c r="AO7" s="3">
        <v>178571</v>
      </c>
      <c r="AP7" s="15">
        <v>348.15</v>
      </c>
      <c r="AQ7" s="4">
        <v>0.80816299999999996</v>
      </c>
      <c r="AR7" s="10">
        <f t="shared" si="7"/>
        <v>0.79607405736918302</v>
      </c>
      <c r="AS7" s="1"/>
      <c r="AT7" s="3">
        <v>189286</v>
      </c>
      <c r="AU7" s="15">
        <v>358.15</v>
      </c>
      <c r="AV7" s="4">
        <v>0.70204100000000003</v>
      </c>
      <c r="AW7" s="10">
        <f t="shared" si="8"/>
        <v>0.70520965021366422</v>
      </c>
    </row>
    <row r="8" spans="1:49" x14ac:dyDescent="0.25">
      <c r="A8" s="3">
        <v>182143</v>
      </c>
      <c r="B8" s="1">
        <v>278.14999999999998</v>
      </c>
      <c r="C8" s="4">
        <v>2.0897999999999999</v>
      </c>
      <c r="D8" s="10">
        <f t="shared" ref="D8:D10" si="9">ws_direct_ads_w_pT(A8,B8,$E$22,$E$23,$E$24,$E$25,$N$25,$E$26,$N$26,$E$27,$N$27)</f>
        <v>1.949304323027691</v>
      </c>
      <c r="E8" s="1"/>
      <c r="F8" s="3">
        <v>392857</v>
      </c>
      <c r="G8" s="1">
        <v>288.14999999999998</v>
      </c>
      <c r="H8" s="4">
        <v>2.1551</v>
      </c>
      <c r="I8" s="10">
        <f t="shared" si="0"/>
        <v>2.1478637567579364</v>
      </c>
      <c r="J8" s="1"/>
      <c r="K8" s="3">
        <v>151786</v>
      </c>
      <c r="L8" s="1">
        <v>293.14999999999998</v>
      </c>
      <c r="M8" s="4">
        <v>1.5102</v>
      </c>
      <c r="N8" s="10">
        <f t="shared" si="1"/>
        <v>1.5681732153342924</v>
      </c>
      <c r="O8" s="1"/>
      <c r="P8" s="3">
        <v>157143</v>
      </c>
      <c r="Q8" s="15">
        <v>298.14999999999998</v>
      </c>
      <c r="R8" s="4">
        <v>1.46122</v>
      </c>
      <c r="S8" s="10">
        <f t="shared" si="2"/>
        <v>1.4937606558715772</v>
      </c>
      <c r="T8" s="1"/>
      <c r="U8" s="3">
        <v>171429</v>
      </c>
      <c r="V8" s="15">
        <v>308.14999999999998</v>
      </c>
      <c r="W8" s="4">
        <v>1.3224499999999999</v>
      </c>
      <c r="X8" s="10">
        <f t="shared" si="3"/>
        <v>1.3614714694194943</v>
      </c>
      <c r="Y8" s="1"/>
      <c r="Z8" s="3">
        <v>185714</v>
      </c>
      <c r="AA8" s="15">
        <v>318.14999999999998</v>
      </c>
      <c r="AB8" s="4">
        <v>1.2081599999999999</v>
      </c>
      <c r="AC8" s="10">
        <f t="shared" si="4"/>
        <v>1.235546204064466</v>
      </c>
      <c r="AD8" s="1"/>
      <c r="AE8" s="3">
        <v>198214</v>
      </c>
      <c r="AF8" s="15">
        <v>328.15</v>
      </c>
      <c r="AG8" s="4">
        <v>1.09388</v>
      </c>
      <c r="AH8" s="10">
        <f t="shared" si="5"/>
        <v>1.1123461984951926</v>
      </c>
      <c r="AI8" s="1"/>
      <c r="AJ8" s="3">
        <v>212500</v>
      </c>
      <c r="AK8" s="15">
        <v>338.15</v>
      </c>
      <c r="AL8" s="4">
        <v>0.98775500000000005</v>
      </c>
      <c r="AM8" s="10">
        <f t="shared" si="6"/>
        <v>1.0015268617314748</v>
      </c>
      <c r="AN8" s="1"/>
      <c r="AO8" s="3">
        <v>228571</v>
      </c>
      <c r="AP8" s="15">
        <v>348.15</v>
      </c>
      <c r="AQ8" s="4">
        <v>0.89795899999999995</v>
      </c>
      <c r="AR8" s="10">
        <f t="shared" si="7"/>
        <v>0.90174086971469636</v>
      </c>
      <c r="AS8" s="1"/>
      <c r="AT8" s="3">
        <v>239286</v>
      </c>
      <c r="AU8" s="15">
        <v>358.15</v>
      </c>
      <c r="AV8" s="4">
        <v>0.80816299999999996</v>
      </c>
      <c r="AW8" s="10">
        <f t="shared" si="8"/>
        <v>0.79913138480136336</v>
      </c>
    </row>
    <row r="9" spans="1:49" x14ac:dyDescent="0.25">
      <c r="A9" s="3">
        <v>262500</v>
      </c>
      <c r="B9" s="1">
        <v>278.14999999999998</v>
      </c>
      <c r="C9" s="4">
        <v>2.1795900000000001</v>
      </c>
      <c r="D9" s="10">
        <f t="shared" si="9"/>
        <v>2.1222162198922225</v>
      </c>
      <c r="E9" s="1"/>
      <c r="F9" s="3">
        <v>435714</v>
      </c>
      <c r="G9" s="1">
        <v>288.14999999999998</v>
      </c>
      <c r="H9" s="4">
        <v>2.1877599999999999</v>
      </c>
      <c r="I9" s="10">
        <f t="shared" si="0"/>
        <v>2.1883498487246862</v>
      </c>
      <c r="J9" s="1"/>
      <c r="K9" s="3">
        <v>191071</v>
      </c>
      <c r="L9" s="1">
        <v>293.14999999999998</v>
      </c>
      <c r="M9" s="4">
        <v>1.6571400000000001</v>
      </c>
      <c r="N9" s="10">
        <f t="shared" si="1"/>
        <v>1.6916318954205896</v>
      </c>
      <c r="O9" s="1"/>
      <c r="P9" s="3">
        <v>198214</v>
      </c>
      <c r="Q9" s="15">
        <v>298.14999999999998</v>
      </c>
      <c r="R9" s="4">
        <v>1.5836699999999999</v>
      </c>
      <c r="S9" s="10">
        <f t="shared" si="2"/>
        <v>1.618555284805471</v>
      </c>
      <c r="T9" s="1"/>
      <c r="U9" s="3">
        <v>216071</v>
      </c>
      <c r="V9" s="15">
        <v>308.14999999999998</v>
      </c>
      <c r="W9" s="4">
        <v>1.4449000000000001</v>
      </c>
      <c r="X9" s="10">
        <f t="shared" si="3"/>
        <v>1.4851354790823246</v>
      </c>
      <c r="Y9" s="1"/>
      <c r="Z9" s="3">
        <v>230357</v>
      </c>
      <c r="AA9" s="15">
        <v>318.14999999999998</v>
      </c>
      <c r="AB9" s="4">
        <v>1.29796</v>
      </c>
      <c r="AC9" s="10">
        <f t="shared" si="4"/>
        <v>1.3483117207237536</v>
      </c>
      <c r="AD9" s="1"/>
      <c r="AE9" s="3">
        <v>250000</v>
      </c>
      <c r="AF9" s="15">
        <v>328.15</v>
      </c>
      <c r="AG9" s="4">
        <v>1.2</v>
      </c>
      <c r="AH9" s="10">
        <f t="shared" si="5"/>
        <v>1.2302813499000946</v>
      </c>
      <c r="AI9" s="1"/>
      <c r="AJ9" s="3">
        <v>262500</v>
      </c>
      <c r="AK9" s="15">
        <v>338.15</v>
      </c>
      <c r="AL9" s="4">
        <v>1.09388</v>
      </c>
      <c r="AM9" s="10">
        <f t="shared" si="6"/>
        <v>1.1044985264464924</v>
      </c>
      <c r="AN9" s="1"/>
      <c r="AO9" s="3">
        <v>280357</v>
      </c>
      <c r="AP9" s="15">
        <v>348.15</v>
      </c>
      <c r="AQ9" s="4">
        <v>0.98775500000000005</v>
      </c>
      <c r="AR9" s="10">
        <f t="shared" si="7"/>
        <v>0.99684761935850563</v>
      </c>
      <c r="AS9" s="1"/>
      <c r="AT9" s="3">
        <v>294643</v>
      </c>
      <c r="AU9" s="15">
        <v>358.15</v>
      </c>
      <c r="AV9" s="4">
        <v>0.88979600000000003</v>
      </c>
      <c r="AW9" s="10">
        <f t="shared" si="8"/>
        <v>0.89044999758527832</v>
      </c>
    </row>
    <row r="10" spans="1:49" x14ac:dyDescent="0.25">
      <c r="A10" s="3">
        <v>300000</v>
      </c>
      <c r="B10" s="1">
        <v>278.14999999999998</v>
      </c>
      <c r="C10" s="4">
        <v>2.21224</v>
      </c>
      <c r="D10" s="10">
        <f t="shared" si="9"/>
        <v>2.1758936048408004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>
        <f t="shared" si="1"/>
        <v>1.7973459910137579</v>
      </c>
      <c r="O10" s="1"/>
      <c r="P10" s="3">
        <v>241071</v>
      </c>
      <c r="Q10" s="15">
        <v>298.14999999999998</v>
      </c>
      <c r="R10" s="4">
        <v>1.7142900000000001</v>
      </c>
      <c r="S10" s="10">
        <f t="shared" si="2"/>
        <v>1.7260119765167399</v>
      </c>
      <c r="T10" s="1"/>
      <c r="U10" s="3">
        <v>260714</v>
      </c>
      <c r="V10" s="15">
        <v>308.14999999999998</v>
      </c>
      <c r="W10" s="4">
        <v>1.5510200000000001</v>
      </c>
      <c r="X10" s="10">
        <f t="shared" si="3"/>
        <v>1.5890007264130861</v>
      </c>
      <c r="Y10" s="1"/>
      <c r="Z10" s="3">
        <v>278571</v>
      </c>
      <c r="AA10" s="15">
        <v>318.14999999999998</v>
      </c>
      <c r="AB10" s="4">
        <v>1.40408</v>
      </c>
      <c r="AC10" s="10">
        <f t="shared" si="4"/>
        <v>1.4523141737433982</v>
      </c>
      <c r="AD10" s="1"/>
      <c r="AE10" s="3">
        <v>298214</v>
      </c>
      <c r="AF10" s="15">
        <v>328.15</v>
      </c>
      <c r="AG10" s="4">
        <v>1.2898000000000001</v>
      </c>
      <c r="AH10" s="10">
        <f t="shared" si="5"/>
        <v>1.3248861387277013</v>
      </c>
      <c r="AI10" s="1"/>
      <c r="AJ10" s="3">
        <v>316071</v>
      </c>
      <c r="AK10" s="15">
        <v>338.15</v>
      </c>
      <c r="AL10" s="4">
        <v>1.1673500000000001</v>
      </c>
      <c r="AM10" s="10">
        <f t="shared" si="6"/>
        <v>1.2007397389277215</v>
      </c>
      <c r="AN10" s="1"/>
      <c r="AO10" s="3">
        <v>333929</v>
      </c>
      <c r="AP10" s="15">
        <v>348.15</v>
      </c>
      <c r="AQ10" s="4">
        <v>1.0693900000000001</v>
      </c>
      <c r="AR10" s="10">
        <f t="shared" si="7"/>
        <v>1.0838537139916486</v>
      </c>
      <c r="AS10" s="1"/>
      <c r="AT10" s="3">
        <v>351786</v>
      </c>
      <c r="AU10" s="15">
        <v>358.15</v>
      </c>
      <c r="AV10" s="4">
        <v>0.97142899999999999</v>
      </c>
      <c r="AW10" s="10">
        <f t="shared" si="8"/>
        <v>0.97426276757082375</v>
      </c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>
        <f t="shared" si="1"/>
        <v>1.8993872943804757</v>
      </c>
      <c r="O11" s="1"/>
      <c r="P11" s="3">
        <v>289286</v>
      </c>
      <c r="Q11" s="15">
        <v>298.14999999999998</v>
      </c>
      <c r="R11" s="4">
        <v>1.83673</v>
      </c>
      <c r="S11" s="10">
        <f t="shared" si="2"/>
        <v>1.826746029167535</v>
      </c>
      <c r="T11" s="1"/>
      <c r="U11" s="3">
        <v>308929</v>
      </c>
      <c r="V11" s="15">
        <v>308.14999999999998</v>
      </c>
      <c r="W11" s="4">
        <v>1.6571400000000001</v>
      </c>
      <c r="X11" s="10">
        <f t="shared" si="3"/>
        <v>1.684807528624811</v>
      </c>
      <c r="Y11" s="1"/>
      <c r="Z11" s="3">
        <v>332143</v>
      </c>
      <c r="AA11" s="15">
        <v>318.14999999999998</v>
      </c>
      <c r="AB11" s="4">
        <v>1.4938800000000001</v>
      </c>
      <c r="AC11" s="10">
        <f t="shared" si="4"/>
        <v>1.5518086090280245</v>
      </c>
      <c r="AD11" s="1"/>
      <c r="AE11" s="3">
        <v>351786</v>
      </c>
      <c r="AF11" s="15">
        <v>328.15</v>
      </c>
      <c r="AG11" s="4">
        <v>1.3714299999999999</v>
      </c>
      <c r="AH11" s="10">
        <f t="shared" si="5"/>
        <v>1.4171232959716309</v>
      </c>
      <c r="AI11" s="1"/>
      <c r="AJ11" s="3">
        <v>373214</v>
      </c>
      <c r="AK11" s="15">
        <v>338.15</v>
      </c>
      <c r="AL11" s="4">
        <v>1.24898</v>
      </c>
      <c r="AM11" s="10">
        <f t="shared" si="6"/>
        <v>1.2912350625683342</v>
      </c>
      <c r="AN11" s="1"/>
      <c r="AO11" s="3">
        <v>391071</v>
      </c>
      <c r="AP11" s="15">
        <v>348.15</v>
      </c>
      <c r="AQ11" s="4">
        <v>1.1510199999999999</v>
      </c>
      <c r="AR11" s="10">
        <f t="shared" si="7"/>
        <v>1.1668128574027494</v>
      </c>
      <c r="AS11" s="1"/>
      <c r="AT11" s="3">
        <v>412500</v>
      </c>
      <c r="AU11" s="15">
        <v>358.15</v>
      </c>
      <c r="AV11" s="4">
        <v>1.0530600000000001</v>
      </c>
      <c r="AW11" s="10">
        <f t="shared" si="8"/>
        <v>1.0543094003663374</v>
      </c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>
        <f t="shared" si="1"/>
        <v>1.9862180639920146</v>
      </c>
      <c r="O12" s="1"/>
      <c r="P12" s="3">
        <v>339286</v>
      </c>
      <c r="Q12" s="15">
        <v>298.14999999999998</v>
      </c>
      <c r="R12" s="4">
        <v>1.9101999999999999</v>
      </c>
      <c r="S12" s="10">
        <f t="shared" si="2"/>
        <v>1.9141576593703891</v>
      </c>
      <c r="T12" s="1"/>
      <c r="U12" s="3">
        <v>362500</v>
      </c>
      <c r="V12" s="15">
        <v>308.14999999999998</v>
      </c>
      <c r="W12" s="4">
        <v>1.73061</v>
      </c>
      <c r="X12" s="10">
        <f t="shared" si="3"/>
        <v>1.7760270938234985</v>
      </c>
      <c r="Y12" s="1"/>
      <c r="Z12" s="3">
        <v>385714</v>
      </c>
      <c r="AA12" s="15">
        <v>318.14999999999998</v>
      </c>
      <c r="AB12" s="4">
        <v>1.57551</v>
      </c>
      <c r="AC12" s="10">
        <f t="shared" si="4"/>
        <v>1.6383259331066795</v>
      </c>
      <c r="AD12" s="1"/>
      <c r="AE12" s="3">
        <v>410714</v>
      </c>
      <c r="AF12" s="15">
        <v>328.15</v>
      </c>
      <c r="AG12" s="4">
        <v>1.4449000000000001</v>
      </c>
      <c r="AH12" s="10">
        <f t="shared" si="5"/>
        <v>1.5064050112346714</v>
      </c>
      <c r="AI12" s="1"/>
      <c r="AJ12" s="3">
        <v>432143</v>
      </c>
      <c r="AK12" s="15">
        <v>338.15</v>
      </c>
      <c r="AL12" s="4">
        <v>1.3306100000000001</v>
      </c>
      <c r="AM12" s="10">
        <f t="shared" si="6"/>
        <v>1.3742882871407036</v>
      </c>
      <c r="AN12" s="1"/>
      <c r="AO12" s="3">
        <v>453571</v>
      </c>
      <c r="AP12" s="15">
        <v>348.15</v>
      </c>
      <c r="AQ12" s="4">
        <v>1.2244900000000001</v>
      </c>
      <c r="AR12" s="10">
        <f t="shared" si="7"/>
        <v>1.248339924377847</v>
      </c>
      <c r="AS12" s="1"/>
      <c r="AT12" s="3">
        <v>476786</v>
      </c>
      <c r="AU12" s="15">
        <v>358.15</v>
      </c>
      <c r="AV12" s="4">
        <v>1.12653</v>
      </c>
      <c r="AW12" s="10">
        <f t="shared" si="8"/>
        <v>1.1310175875245836</v>
      </c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>
        <f t="shared" si="1"/>
        <v>2.0601434073816844</v>
      </c>
      <c r="O13" s="1"/>
      <c r="P13" s="3">
        <v>392857</v>
      </c>
      <c r="Q13" s="15">
        <v>298.14999999999998</v>
      </c>
      <c r="R13" s="4">
        <v>1.98367</v>
      </c>
      <c r="S13" s="10">
        <f t="shared" si="2"/>
        <v>1.9927472116884144</v>
      </c>
      <c r="T13" s="1"/>
      <c r="U13" s="3">
        <v>419643</v>
      </c>
      <c r="V13" s="15">
        <v>308.14999999999998</v>
      </c>
      <c r="W13" s="4">
        <v>1.83673</v>
      </c>
      <c r="X13" s="10">
        <f t="shared" si="3"/>
        <v>1.8595006400067697</v>
      </c>
      <c r="Y13" s="1"/>
      <c r="Z13" s="3">
        <v>444643</v>
      </c>
      <c r="AA13" s="15">
        <v>318.14999999999998</v>
      </c>
      <c r="AB13" s="4">
        <v>1.67347</v>
      </c>
      <c r="AC13" s="10">
        <f t="shared" si="4"/>
        <v>1.7217048105511263</v>
      </c>
      <c r="AD13" s="1"/>
      <c r="AE13" s="3">
        <v>471429</v>
      </c>
      <c r="AF13" s="15">
        <v>328.15</v>
      </c>
      <c r="AG13" s="4">
        <v>1.5346900000000001</v>
      </c>
      <c r="AH13" s="10">
        <f t="shared" si="5"/>
        <v>1.5878140689571221</v>
      </c>
      <c r="AI13" s="1"/>
      <c r="AJ13" s="3">
        <v>498214</v>
      </c>
      <c r="AK13" s="15">
        <v>338.15</v>
      </c>
      <c r="AL13" s="4">
        <v>1.40408</v>
      </c>
      <c r="AM13" s="10">
        <f t="shared" si="6"/>
        <v>1.4575209376170504</v>
      </c>
      <c r="AN13" s="1"/>
      <c r="AO13" s="3">
        <v>525000</v>
      </c>
      <c r="AP13" s="15">
        <v>348.15</v>
      </c>
      <c r="AQ13" s="4">
        <v>1.29796</v>
      </c>
      <c r="AR13" s="10">
        <f t="shared" si="7"/>
        <v>1.3320678375829946</v>
      </c>
      <c r="AS13" s="1"/>
      <c r="AT13" s="3">
        <v>544643</v>
      </c>
      <c r="AU13" s="15">
        <v>358.15</v>
      </c>
      <c r="AV13" s="4">
        <v>1.19184</v>
      </c>
      <c r="AW13" s="10">
        <f t="shared" si="8"/>
        <v>1.2046957959436675</v>
      </c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>
        <f t="shared" si="1"/>
        <v>2.1315314291805803</v>
      </c>
      <c r="O14" s="1"/>
      <c r="P14" s="3">
        <v>457143</v>
      </c>
      <c r="Q14" s="15">
        <v>298.14999999999998</v>
      </c>
      <c r="R14" s="4">
        <v>2.01633</v>
      </c>
      <c r="S14" s="10">
        <f t="shared" si="2"/>
        <v>2.0704904969689455</v>
      </c>
      <c r="T14" s="1"/>
      <c r="U14" s="3">
        <v>480357</v>
      </c>
      <c r="V14" s="15">
        <v>308.14999999999998</v>
      </c>
      <c r="W14" s="4">
        <v>1.9101999999999999</v>
      </c>
      <c r="X14" s="10">
        <f t="shared" si="3"/>
        <v>1.935671158030392</v>
      </c>
      <c r="Y14" s="1"/>
      <c r="Z14" s="3">
        <v>510714</v>
      </c>
      <c r="AA14" s="15">
        <v>318.14999999999998</v>
      </c>
      <c r="AB14" s="4">
        <v>1.7551000000000001</v>
      </c>
      <c r="AC14" s="10">
        <f t="shared" si="4"/>
        <v>1.803394248627656</v>
      </c>
      <c r="AD14" s="1"/>
      <c r="AE14" s="3">
        <v>539286</v>
      </c>
      <c r="AF14" s="15">
        <v>328.15</v>
      </c>
      <c r="AG14" s="4">
        <v>1.61633</v>
      </c>
      <c r="AH14" s="10">
        <f t="shared" si="5"/>
        <v>1.6685626448986202</v>
      </c>
      <c r="AI14" s="1"/>
      <c r="AJ14" s="3">
        <v>564286</v>
      </c>
      <c r="AK14" s="15">
        <v>338.15</v>
      </c>
      <c r="AL14" s="4">
        <v>1.4857100000000001</v>
      </c>
      <c r="AM14" s="10">
        <f t="shared" si="6"/>
        <v>1.5322500333300926</v>
      </c>
      <c r="AN14" s="1"/>
      <c r="AO14" s="3">
        <v>592857</v>
      </c>
      <c r="AP14" s="15">
        <v>348.15</v>
      </c>
      <c r="AQ14" s="4">
        <v>1.3795900000000001</v>
      </c>
      <c r="AR14" s="10">
        <f t="shared" si="7"/>
        <v>1.4039936630453942</v>
      </c>
      <c r="AS14" s="1"/>
      <c r="AT14" s="3">
        <v>621429</v>
      </c>
      <c r="AU14" s="15">
        <v>358.15</v>
      </c>
      <c r="AV14" s="4">
        <v>1.2653099999999999</v>
      </c>
      <c r="AW14" s="10">
        <f t="shared" si="8"/>
        <v>1.2806485990125962</v>
      </c>
    </row>
    <row r="15" spans="1:49" x14ac:dyDescent="0.25">
      <c r="A15" s="3"/>
      <c r="B15" s="1"/>
      <c r="C15" s="4"/>
      <c r="D15" s="10"/>
      <c r="E15" s="1"/>
      <c r="F15" s="3"/>
      <c r="G15" s="1"/>
      <c r="H15" s="4"/>
      <c r="I15" s="10"/>
      <c r="J15" s="1"/>
      <c r="K15" s="3"/>
      <c r="L15" s="1"/>
      <c r="M15" s="4"/>
      <c r="N15" s="10"/>
      <c r="O15" s="1"/>
      <c r="P15" s="3">
        <v>514286</v>
      </c>
      <c r="Q15" s="15">
        <v>298.14999999999998</v>
      </c>
      <c r="R15" s="4">
        <v>2.0408200000000001</v>
      </c>
      <c r="S15" s="10">
        <f t="shared" si="2"/>
        <v>2.1267965305600933</v>
      </c>
      <c r="T15" s="1"/>
      <c r="U15" s="3">
        <v>541071</v>
      </c>
      <c r="V15" s="15">
        <v>308.14999999999998</v>
      </c>
      <c r="W15" s="4">
        <v>1.94286</v>
      </c>
      <c r="X15" s="10">
        <f t="shared" si="3"/>
        <v>2.0012201686860442</v>
      </c>
      <c r="Y15" s="1"/>
      <c r="Z15" s="3">
        <v>571429</v>
      </c>
      <c r="AA15" s="15">
        <v>318.14999999999998</v>
      </c>
      <c r="AB15" s="4">
        <v>1.8204100000000001</v>
      </c>
      <c r="AC15" s="10">
        <f t="shared" si="4"/>
        <v>1.869436048145722</v>
      </c>
      <c r="AD15" s="1"/>
      <c r="AE15" s="3">
        <v>603571</v>
      </c>
      <c r="AF15" s="15">
        <v>328.15</v>
      </c>
      <c r="AG15" s="4">
        <v>1.6979599999999999</v>
      </c>
      <c r="AH15" s="10">
        <f t="shared" si="5"/>
        <v>1.7368482504152472</v>
      </c>
      <c r="AI15" s="1"/>
      <c r="AJ15" s="3">
        <v>637500</v>
      </c>
      <c r="AK15" s="15">
        <v>338.15</v>
      </c>
      <c r="AL15" s="4">
        <v>1.55918</v>
      </c>
      <c r="AM15" s="10">
        <f t="shared" si="6"/>
        <v>1.6068724413172712</v>
      </c>
      <c r="AN15" s="1"/>
      <c r="AO15" s="3">
        <v>664286</v>
      </c>
      <c r="AP15" s="15">
        <v>348.15</v>
      </c>
      <c r="AQ15" s="4">
        <v>1.4449000000000001</v>
      </c>
      <c r="AR15" s="10">
        <f t="shared" si="7"/>
        <v>1.4730546835501064</v>
      </c>
      <c r="AS15" s="1"/>
      <c r="AT15" s="3">
        <v>694643</v>
      </c>
      <c r="AU15" s="15">
        <v>358.15</v>
      </c>
      <c r="AV15" s="4">
        <v>1.34694</v>
      </c>
      <c r="AW15" s="10">
        <f t="shared" si="8"/>
        <v>1.3469435864223243</v>
      </c>
    </row>
    <row r="16" spans="1:49" x14ac:dyDescent="0.25">
      <c r="A16" s="3"/>
      <c r="B16" s="1"/>
      <c r="C16" s="4"/>
      <c r="D16" s="10"/>
      <c r="E16" s="1"/>
      <c r="F16" s="3"/>
      <c r="G16" s="1"/>
      <c r="H16" s="4"/>
      <c r="I16" s="10"/>
      <c r="J16" s="1"/>
      <c r="K16" s="3"/>
      <c r="L16" s="1"/>
      <c r="M16" s="4"/>
      <c r="N16" s="10"/>
      <c r="O16" s="1"/>
      <c r="P16" s="3"/>
      <c r="Q16" s="15"/>
      <c r="R16" s="4"/>
      <c r="S16" s="10"/>
      <c r="T16" s="1"/>
      <c r="U16" s="3"/>
      <c r="V16" s="15"/>
      <c r="W16" s="4"/>
      <c r="X16" s="10"/>
      <c r="Y16" s="1"/>
      <c r="Z16" s="3"/>
      <c r="AA16" s="15"/>
      <c r="AB16" s="4"/>
      <c r="AC16" s="10"/>
      <c r="AD16" s="1"/>
      <c r="AE16" s="3"/>
      <c r="AF16" s="15"/>
      <c r="AG16" s="4"/>
      <c r="AH16" s="10"/>
      <c r="AI16" s="1"/>
      <c r="AJ16" s="3"/>
      <c r="AK16" s="15"/>
      <c r="AL16" s="4"/>
      <c r="AM16" s="10"/>
      <c r="AN16" s="1"/>
      <c r="AO16" s="3"/>
      <c r="AP16" s="15"/>
      <c r="AQ16" s="4"/>
      <c r="AR16" s="10"/>
      <c r="AS16" s="1"/>
      <c r="AT16" s="3"/>
      <c r="AU16" s="15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"/>
      <c r="H17" s="4"/>
      <c r="I17" s="10"/>
      <c r="J17" s="1"/>
      <c r="K17" s="3"/>
      <c r="L17" s="1"/>
      <c r="M17" s="4"/>
      <c r="N17" s="10"/>
      <c r="O17" s="1"/>
      <c r="P17" s="3"/>
      <c r="Q17" s="15"/>
      <c r="R17" s="4"/>
      <c r="S17" s="10"/>
      <c r="T17" s="1"/>
      <c r="U17" s="3"/>
      <c r="V17" s="15"/>
      <c r="W17" s="4"/>
      <c r="X17" s="10"/>
      <c r="Y17" s="1"/>
      <c r="Z17" s="3"/>
      <c r="AA17" s="15"/>
      <c r="AB17" s="4"/>
      <c r="AC17" s="10"/>
      <c r="AD17" s="1"/>
      <c r="AE17" s="3"/>
      <c r="AF17" s="15"/>
      <c r="AG17" s="4"/>
      <c r="AH17" s="10"/>
      <c r="AI17" s="1"/>
      <c r="AJ17" s="3"/>
      <c r="AK17" s="15"/>
      <c r="AL17" s="4"/>
      <c r="AM17" s="10"/>
      <c r="AN17" s="1"/>
      <c r="AO17" s="3"/>
      <c r="AP17" s="15"/>
      <c r="AQ17" s="4"/>
      <c r="AR17" s="10"/>
      <c r="AS17" s="1"/>
      <c r="AT17" s="3"/>
      <c r="AU17" s="15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  <c r="T18" s="1"/>
      <c r="U18" s="3"/>
      <c r="V18" s="1"/>
      <c r="W18" s="4"/>
      <c r="X18" s="10"/>
      <c r="Y18" s="1"/>
      <c r="Z18" s="3"/>
      <c r="AA18" s="1"/>
      <c r="AB18" s="4"/>
      <c r="AC18" s="10"/>
      <c r="AD18" s="1"/>
      <c r="AE18" s="3"/>
      <c r="AF18" s="1"/>
      <c r="AG18" s="4"/>
      <c r="AH18" s="10"/>
      <c r="AI18" s="1"/>
      <c r="AJ18" s="3"/>
      <c r="AK18" s="1"/>
      <c r="AL18" s="4"/>
      <c r="AM18" s="10"/>
      <c r="AN18" s="1"/>
      <c r="AO18" s="3"/>
      <c r="AP18" s="1"/>
      <c r="AQ18" s="4"/>
      <c r="AR18" s="10"/>
      <c r="AS18" s="1"/>
      <c r="AT18" s="3"/>
      <c r="AU18" s="1"/>
      <c r="AV18" s="4"/>
      <c r="AW18" s="10"/>
    </row>
    <row r="19" spans="1:4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  <c r="T19" s="2"/>
      <c r="U19" s="5"/>
      <c r="V19" s="2"/>
      <c r="W19" s="6"/>
      <c r="X19" s="11"/>
      <c r="Y19" s="2"/>
      <c r="Z19" s="5"/>
      <c r="AA19" s="2"/>
      <c r="AB19" s="6"/>
      <c r="AC19" s="11"/>
      <c r="AD19" s="2"/>
      <c r="AE19" s="5"/>
      <c r="AF19" s="2"/>
      <c r="AG19" s="6"/>
      <c r="AH19" s="11"/>
      <c r="AI19" s="2"/>
      <c r="AJ19" s="5"/>
      <c r="AK19" s="2"/>
      <c r="AL19" s="6"/>
      <c r="AM19" s="11"/>
      <c r="AN19" s="2"/>
      <c r="AO19" s="5"/>
      <c r="AP19" s="2"/>
      <c r="AQ19" s="6"/>
      <c r="AR19" s="11"/>
      <c r="AS19" s="2"/>
      <c r="AT19" s="5"/>
      <c r="AU19" s="2"/>
      <c r="AV19" s="6"/>
      <c r="AW19" s="11"/>
    </row>
    <row r="20" spans="1:49" ht="15.75" thickBot="1" x14ac:dyDescent="0.3"/>
    <row r="21" spans="1:49" ht="15.75" thickBot="1" x14ac:dyDescent="0.3">
      <c r="A21" s="51" t="s">
        <v>27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3"/>
    </row>
    <row r="22" spans="1:49" x14ac:dyDescent="0.25">
      <c r="A22" s="58" t="s">
        <v>10</v>
      </c>
      <c r="B22" s="57"/>
      <c r="C22" s="57"/>
      <c r="D22" s="59"/>
      <c r="E22" s="67" t="s">
        <v>11</v>
      </c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9"/>
    </row>
    <row r="23" spans="1:49" x14ac:dyDescent="0.25">
      <c r="A23" s="58" t="s">
        <v>12</v>
      </c>
      <c r="B23" s="57"/>
      <c r="C23" s="57"/>
      <c r="D23" s="59"/>
      <c r="E23" s="70" t="s">
        <v>49</v>
      </c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4"/>
    </row>
    <row r="24" spans="1:49" x14ac:dyDescent="0.25">
      <c r="A24" s="58" t="s">
        <v>14</v>
      </c>
      <c r="B24" s="57"/>
      <c r="C24" s="57"/>
      <c r="D24" s="59"/>
      <c r="E24" s="70" t="s">
        <v>48</v>
      </c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4"/>
    </row>
    <row r="25" spans="1:49" x14ac:dyDescent="0.25">
      <c r="A25" s="58" t="s">
        <v>16</v>
      </c>
      <c r="B25" s="57"/>
      <c r="C25" s="57"/>
      <c r="D25" s="59"/>
      <c r="E25" s="70" t="s">
        <v>50</v>
      </c>
      <c r="F25" s="43"/>
      <c r="G25" s="43"/>
      <c r="H25" s="43"/>
      <c r="I25" s="57" t="s">
        <v>24</v>
      </c>
      <c r="J25" s="57"/>
      <c r="K25" s="57"/>
      <c r="L25" s="57"/>
      <c r="M25" s="57"/>
      <c r="N25" s="43">
        <v>1</v>
      </c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4"/>
    </row>
    <row r="26" spans="1:49" x14ac:dyDescent="0.25">
      <c r="A26" s="58" t="s">
        <v>18</v>
      </c>
      <c r="B26" s="57"/>
      <c r="C26" s="57"/>
      <c r="D26" s="59"/>
      <c r="E26" s="70" t="s">
        <v>19</v>
      </c>
      <c r="F26" s="43"/>
      <c r="G26" s="43"/>
      <c r="H26" s="43"/>
      <c r="I26" s="57" t="s">
        <v>25</v>
      </c>
      <c r="J26" s="57"/>
      <c r="K26" s="57"/>
      <c r="L26" s="57"/>
      <c r="M26" s="57"/>
      <c r="N26" s="43">
        <v>1</v>
      </c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4"/>
    </row>
    <row r="27" spans="1:49" ht="15.75" thickBot="1" x14ac:dyDescent="0.3">
      <c r="A27" s="63" t="s">
        <v>20</v>
      </c>
      <c r="B27" s="64"/>
      <c r="C27" s="64"/>
      <c r="D27" s="65"/>
      <c r="E27" s="66" t="s">
        <v>21</v>
      </c>
      <c r="F27" s="35"/>
      <c r="G27" s="35"/>
      <c r="H27" s="35"/>
      <c r="I27" s="64" t="s">
        <v>26</v>
      </c>
      <c r="J27" s="64"/>
      <c r="K27" s="64"/>
      <c r="L27" s="64"/>
      <c r="M27" s="64"/>
      <c r="N27" s="35">
        <v>1</v>
      </c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6"/>
    </row>
  </sheetData>
  <mergeCells count="30">
    <mergeCell ref="N27:AW27"/>
    <mergeCell ref="AE2:AG2"/>
    <mergeCell ref="AJ2:AL2"/>
    <mergeCell ref="AO2:AQ2"/>
    <mergeCell ref="AT2:AV2"/>
    <mergeCell ref="A1:AW1"/>
    <mergeCell ref="A21:AW21"/>
    <mergeCell ref="A27:D27"/>
    <mergeCell ref="E27:H27"/>
    <mergeCell ref="I27:M27"/>
    <mergeCell ref="U2:W2"/>
    <mergeCell ref="Z2:AB2"/>
    <mergeCell ref="E22:AW22"/>
    <mergeCell ref="E23:AW23"/>
    <mergeCell ref="E24:AW24"/>
    <mergeCell ref="N25:AW25"/>
    <mergeCell ref="A25:D25"/>
    <mergeCell ref="E25:H25"/>
    <mergeCell ref="I25:M25"/>
    <mergeCell ref="A26:D26"/>
    <mergeCell ref="E26:H26"/>
    <mergeCell ref="A2:C2"/>
    <mergeCell ref="F2:H2"/>
    <mergeCell ref="K2:M2"/>
    <mergeCell ref="P2:R2"/>
    <mergeCell ref="I26:M26"/>
    <mergeCell ref="N26:AW26"/>
    <mergeCell ref="A22:D22"/>
    <mergeCell ref="A23:D23"/>
    <mergeCell ref="A24:D2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/>
  </sheetPr>
  <dimension ref="A1:S27"/>
  <sheetViews>
    <sheetView zoomScaleNormal="100" workbookViewId="0">
      <selection activeCell="R30" sqref="R30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60" t="s">
        <v>35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2"/>
    </row>
    <row r="2" spans="1:19" x14ac:dyDescent="0.25">
      <c r="A2" s="71" t="s">
        <v>40</v>
      </c>
      <c r="B2" s="72"/>
      <c r="C2" s="72"/>
      <c r="D2" s="7" t="s">
        <v>41</v>
      </c>
      <c r="E2" s="1"/>
      <c r="F2" s="71" t="s">
        <v>42</v>
      </c>
      <c r="G2" s="72"/>
      <c r="H2" s="72"/>
      <c r="I2" s="7" t="s">
        <v>43</v>
      </c>
      <c r="J2" s="1"/>
      <c r="K2" s="71" t="s">
        <v>44</v>
      </c>
      <c r="L2" s="72"/>
      <c r="M2" s="72"/>
      <c r="N2" s="7" t="s">
        <v>57</v>
      </c>
      <c r="O2" s="1"/>
      <c r="P2" s="71" t="s">
        <v>45</v>
      </c>
      <c r="Q2" s="72"/>
      <c r="R2" s="72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1362.03</v>
      </c>
      <c r="B5" s="1">
        <v>323</v>
      </c>
      <c r="C5" s="4">
        <v>2.2961749E-2</v>
      </c>
      <c r="D5" s="10">
        <f>ws_direct_ads_w_pT(A5,B5,$E$22,$E$23,$E$24,$E$25,$N$25,$E$26,$N$26,$E$27,$N$27)</f>
        <v>1.51728024635255E-2</v>
      </c>
      <c r="E5" s="1"/>
      <c r="F5" s="3">
        <v>1526.72</v>
      </c>
      <c r="G5" s="1">
        <v>348</v>
      </c>
      <c r="H5" s="4">
        <v>1.2559972000000001E-2</v>
      </c>
      <c r="I5" s="10">
        <f t="shared" ref="I5:I19" si="0">ws_direct_ads_w_pT(F5,G5,$E$22,$E$23,$E$24,$E$25,$N$25,$E$26,$N$26,$E$27,$N$27)</f>
        <v>6.8836427932506897E-3</v>
      </c>
      <c r="J5" s="1"/>
      <c r="K5" s="3">
        <v>763.35900000000004</v>
      </c>
      <c r="L5" s="1">
        <v>373</v>
      </c>
      <c r="M5" s="4">
        <v>5.5828120000000004E-3</v>
      </c>
      <c r="N5" s="10">
        <f t="shared" ref="N5:N17" si="1">ws_direct_ads_w_pT(K5,L5,$E$22,$E$23,$E$24,$E$25,$N$25,$E$26,$N$26,$E$27,$N$27)</f>
        <v>1.3345943765825808E-3</v>
      </c>
      <c r="O5" s="1"/>
      <c r="P5" s="3">
        <v>1679.39</v>
      </c>
      <c r="Q5" s="1">
        <v>423</v>
      </c>
      <c r="R5" s="4">
        <v>0</v>
      </c>
      <c r="S5" s="10">
        <f t="shared" ref="S5:S17" si="2">ws_direct_ads_w_pT(P5,Q5,$E$22,$E$23,$E$24,$E$25,$N$25,$E$26,$N$26,$E$27,$N$27)</f>
        <v>9.2080970045691304E-4</v>
      </c>
    </row>
    <row r="6" spans="1:19" x14ac:dyDescent="0.25">
      <c r="A6" s="3">
        <v>3333.51</v>
      </c>
      <c r="B6" s="1">
        <v>323</v>
      </c>
      <c r="C6" s="4">
        <v>4.6619347999999998E-2</v>
      </c>
      <c r="D6" s="10">
        <f t="shared" ref="D6:D19" si="3">ws_direct_ads_w_pT(A6,B6,$E$22,$E$23,$E$24,$E$25,$N$25,$E$26,$N$26,$E$27,$N$27)</f>
        <v>4.5880431369203702E-2</v>
      </c>
      <c r="E6" s="1"/>
      <c r="F6" s="3">
        <v>3358.78</v>
      </c>
      <c r="G6" s="1">
        <v>348</v>
      </c>
      <c r="H6" s="4">
        <v>2.6516496000000001E-2</v>
      </c>
      <c r="I6" s="10">
        <f t="shared" si="0"/>
        <v>1.7630994301599617E-2</v>
      </c>
      <c r="J6" s="1"/>
      <c r="K6" s="3">
        <v>3664.12</v>
      </c>
      <c r="L6" s="1">
        <v>373</v>
      </c>
      <c r="M6" s="4">
        <v>1.4666442E-2</v>
      </c>
      <c r="N6" s="10">
        <f t="shared" si="1"/>
        <v>8.8360108673241032E-3</v>
      </c>
      <c r="O6" s="1"/>
      <c r="P6" s="3">
        <v>5190.84</v>
      </c>
      <c r="Q6" s="1">
        <v>423</v>
      </c>
      <c r="R6" s="4">
        <v>2.824933E-3</v>
      </c>
      <c r="S6" s="10">
        <f t="shared" si="2"/>
        <v>3.6123334279735833E-3</v>
      </c>
    </row>
    <row r="7" spans="1:19" x14ac:dyDescent="0.25">
      <c r="A7" s="3">
        <v>6065.09</v>
      </c>
      <c r="B7" s="1">
        <v>323</v>
      </c>
      <c r="C7" s="4">
        <v>7.5147461999999998E-2</v>
      </c>
      <c r="D7" s="10">
        <f t="shared" si="3"/>
        <v>9.5218909084246156E-2</v>
      </c>
      <c r="E7" s="1"/>
      <c r="F7" s="3">
        <v>5496.18</v>
      </c>
      <c r="G7" s="1">
        <v>348</v>
      </c>
      <c r="H7" s="4">
        <v>4.3961004999999997E-2</v>
      </c>
      <c r="I7" s="10">
        <f t="shared" si="0"/>
        <v>3.1717563226366541E-2</v>
      </c>
      <c r="J7" s="1"/>
      <c r="K7" s="3">
        <v>9007.6299999999992</v>
      </c>
      <c r="L7" s="1">
        <v>373</v>
      </c>
      <c r="M7" s="4">
        <v>3.2133351999999997E-2</v>
      </c>
      <c r="N7" s="10">
        <f t="shared" si="1"/>
        <v>2.5500290539630287E-2</v>
      </c>
      <c r="O7" s="1"/>
      <c r="P7" s="3">
        <v>9007.6299999999992</v>
      </c>
      <c r="Q7" s="1">
        <v>423</v>
      </c>
      <c r="R7" s="4">
        <v>7.0346619999999997E-3</v>
      </c>
      <c r="S7" s="10">
        <f t="shared" si="2"/>
        <v>6.9950857374136985E-3</v>
      </c>
    </row>
    <row r="8" spans="1:19" x14ac:dyDescent="0.25">
      <c r="A8" s="3">
        <v>8791.85</v>
      </c>
      <c r="B8" s="1">
        <v>323</v>
      </c>
      <c r="C8" s="4">
        <v>0.114808744</v>
      </c>
      <c r="D8" s="10">
        <f t="shared" si="3"/>
        <v>0.13493324084128461</v>
      </c>
      <c r="E8" s="1"/>
      <c r="F8" s="3">
        <v>7938.93</v>
      </c>
      <c r="G8" s="1">
        <v>348</v>
      </c>
      <c r="H8" s="4">
        <v>6.0710544999999998E-2</v>
      </c>
      <c r="I8" s="10">
        <f t="shared" si="0"/>
        <v>4.9488371912536598E-2</v>
      </c>
      <c r="J8" s="1"/>
      <c r="K8" s="3">
        <v>16030.5</v>
      </c>
      <c r="L8" s="1">
        <v>373</v>
      </c>
      <c r="M8" s="4">
        <v>5.6583947000000002E-2</v>
      </c>
      <c r="N8" s="10">
        <f t="shared" si="1"/>
        <v>5.0029353744187238E-2</v>
      </c>
      <c r="O8" s="1"/>
      <c r="P8" s="3">
        <v>20610.7</v>
      </c>
      <c r="Q8" s="1">
        <v>423</v>
      </c>
      <c r="R8" s="4">
        <v>1.6876142E-2</v>
      </c>
      <c r="S8" s="10">
        <f t="shared" si="2"/>
        <v>1.8518735045160894E-2</v>
      </c>
    </row>
    <row r="9" spans="1:19" x14ac:dyDescent="0.25">
      <c r="A9" s="3">
        <v>12576.7</v>
      </c>
      <c r="B9" s="1">
        <v>323</v>
      </c>
      <c r="C9" s="4">
        <v>0.17534422399999999</v>
      </c>
      <c r="D9" s="10">
        <f t="shared" si="3"/>
        <v>0.17149377970285895</v>
      </c>
      <c r="E9" s="1"/>
      <c r="F9" s="3">
        <v>9923.66</v>
      </c>
      <c r="G9" s="1">
        <v>348</v>
      </c>
      <c r="H9" s="4">
        <v>7.6062474000000005E-2</v>
      </c>
      <c r="I9" s="10">
        <f t="shared" si="0"/>
        <v>6.4918574607311527E-2</v>
      </c>
      <c r="J9" s="1"/>
      <c r="K9" s="3">
        <v>24580.2</v>
      </c>
      <c r="L9" s="1">
        <v>373</v>
      </c>
      <c r="M9" s="4">
        <v>8.3833689000000003E-2</v>
      </c>
      <c r="N9" s="10">
        <f t="shared" si="1"/>
        <v>8.2282683520277344E-2</v>
      </c>
      <c r="O9" s="1"/>
      <c r="P9" s="3">
        <v>29007.599999999999</v>
      </c>
      <c r="Q9" s="1">
        <v>423</v>
      </c>
      <c r="R9" s="4">
        <v>2.5300917999999999E-2</v>
      </c>
      <c r="S9" s="10">
        <f t="shared" si="2"/>
        <v>2.7403840560238892E-2</v>
      </c>
    </row>
    <row r="10" spans="1:19" x14ac:dyDescent="0.25">
      <c r="A10" s="3">
        <v>17890.400000000001</v>
      </c>
      <c r="B10" s="1">
        <v>323</v>
      </c>
      <c r="C10" s="4">
        <v>0.22544282600000001</v>
      </c>
      <c r="D10" s="10">
        <f t="shared" si="3"/>
        <v>0.20404845292245755</v>
      </c>
      <c r="E10" s="1"/>
      <c r="F10" s="3">
        <v>12977.1</v>
      </c>
      <c r="G10" s="1">
        <v>348</v>
      </c>
      <c r="H10" s="4">
        <v>9.6999289000000002E-2</v>
      </c>
      <c r="I10" s="10">
        <f t="shared" si="0"/>
        <v>8.8997107027412189E-2</v>
      </c>
      <c r="J10" s="1"/>
      <c r="K10" s="3">
        <v>32366.400000000001</v>
      </c>
      <c r="L10" s="1">
        <v>373</v>
      </c>
      <c r="M10" s="4">
        <v>0.108289444</v>
      </c>
      <c r="N10" s="10">
        <f t="shared" si="1"/>
        <v>0.11075959446292039</v>
      </c>
      <c r="O10" s="1"/>
      <c r="P10" s="3">
        <v>33893.1</v>
      </c>
      <c r="Q10" s="1">
        <v>423</v>
      </c>
      <c r="R10" s="4">
        <v>2.8820917000000001E-2</v>
      </c>
      <c r="S10" s="10">
        <f t="shared" si="2"/>
        <v>3.2685030865195558E-2</v>
      </c>
    </row>
    <row r="11" spans="1:19" x14ac:dyDescent="0.25">
      <c r="A11" s="3">
        <v>24892.1</v>
      </c>
      <c r="B11" s="1">
        <v>323</v>
      </c>
      <c r="C11" s="4">
        <v>0.24979583499999999</v>
      </c>
      <c r="D11" s="10">
        <f t="shared" si="3"/>
        <v>0.23119744097240069</v>
      </c>
      <c r="E11" s="1"/>
      <c r="F11" s="3">
        <v>18167.900000000001</v>
      </c>
      <c r="G11" s="1">
        <v>348</v>
      </c>
      <c r="H11" s="4">
        <v>0.13398652999999999</v>
      </c>
      <c r="I11" s="10">
        <f t="shared" si="0"/>
        <v>0.12545500813520397</v>
      </c>
      <c r="J11" s="1"/>
      <c r="K11" s="3">
        <v>39542</v>
      </c>
      <c r="L11" s="1">
        <v>373</v>
      </c>
      <c r="M11" s="4">
        <v>0.132043616</v>
      </c>
      <c r="N11" s="10">
        <f t="shared" si="1"/>
        <v>0.13368762427591407</v>
      </c>
      <c r="O11" s="1"/>
      <c r="P11" s="3">
        <v>40305.300000000003</v>
      </c>
      <c r="Q11" s="1">
        <v>423</v>
      </c>
      <c r="R11" s="4">
        <v>3.5140282000000002E-2</v>
      </c>
      <c r="S11" s="10">
        <f t="shared" si="2"/>
        <v>3.9707343422928087E-2</v>
      </c>
    </row>
    <row r="12" spans="1:19" x14ac:dyDescent="0.25">
      <c r="A12" s="3">
        <v>33574.5</v>
      </c>
      <c r="B12" s="1">
        <v>323</v>
      </c>
      <c r="C12" s="4">
        <v>0.26510366800000001</v>
      </c>
      <c r="D12" s="10">
        <f t="shared" si="3"/>
        <v>0.25244748991387062</v>
      </c>
      <c r="E12" s="1"/>
      <c r="F12" s="3">
        <v>31755.7</v>
      </c>
      <c r="G12" s="1">
        <v>348</v>
      </c>
      <c r="H12" s="4">
        <v>0.19473632099999999</v>
      </c>
      <c r="I12" s="10">
        <f t="shared" si="0"/>
        <v>0.18490221341223689</v>
      </c>
      <c r="J12" s="1"/>
      <c r="K12" s="3">
        <v>49007.6</v>
      </c>
      <c r="L12" s="1">
        <v>373</v>
      </c>
      <c r="M12" s="4">
        <v>0.15790562399999999</v>
      </c>
      <c r="N12" s="10">
        <f t="shared" si="1"/>
        <v>0.15819220292652528</v>
      </c>
      <c r="O12" s="1"/>
      <c r="P12" s="3">
        <v>49923.7</v>
      </c>
      <c r="Q12" s="1">
        <v>423</v>
      </c>
      <c r="R12" s="4">
        <v>4.3573568999999999E-2</v>
      </c>
      <c r="S12" s="10">
        <f t="shared" si="2"/>
        <v>5.0398927282682852E-2</v>
      </c>
    </row>
    <row r="13" spans="1:19" x14ac:dyDescent="0.25">
      <c r="A13" s="3">
        <v>40887.9</v>
      </c>
      <c r="B13" s="1">
        <v>323</v>
      </c>
      <c r="C13" s="4">
        <v>0.273453434</v>
      </c>
      <c r="D13" s="10">
        <f t="shared" si="3"/>
        <v>0.26450905452550355</v>
      </c>
      <c r="E13" s="1"/>
      <c r="F13" s="3">
        <v>39389.300000000003</v>
      </c>
      <c r="G13" s="1">
        <v>348</v>
      </c>
      <c r="H13" s="4">
        <v>0.21431053799999999</v>
      </c>
      <c r="I13" s="10">
        <f t="shared" si="0"/>
        <v>0.2050027359960292</v>
      </c>
      <c r="J13" s="1"/>
      <c r="K13" s="3">
        <v>60916</v>
      </c>
      <c r="L13" s="1">
        <v>373</v>
      </c>
      <c r="M13" s="4">
        <v>0.17960134799999999</v>
      </c>
      <c r="N13" s="10">
        <f t="shared" si="1"/>
        <v>0.18151604629093018</v>
      </c>
      <c r="O13" s="1"/>
      <c r="P13" s="3">
        <v>58931.3</v>
      </c>
      <c r="Q13" s="1">
        <v>423</v>
      </c>
      <c r="R13" s="4">
        <v>5.2699884000000002E-2</v>
      </c>
      <c r="S13" s="10">
        <f t="shared" si="2"/>
        <v>6.0553143590821222E-2</v>
      </c>
    </row>
    <row r="14" spans="1:19" x14ac:dyDescent="0.25">
      <c r="A14" s="3">
        <v>49726.400000000001</v>
      </c>
      <c r="B14" s="1">
        <v>323</v>
      </c>
      <c r="C14" s="4">
        <v>0.28041149999999998</v>
      </c>
      <c r="D14" s="10">
        <f t="shared" si="3"/>
        <v>0.27493494082085046</v>
      </c>
      <c r="E14" s="1"/>
      <c r="F14" s="3">
        <v>45648.9</v>
      </c>
      <c r="G14" s="1">
        <v>348</v>
      </c>
      <c r="H14" s="4">
        <v>0.22620658599999999</v>
      </c>
      <c r="I14" s="10">
        <f t="shared" si="0"/>
        <v>0.21778484946188911</v>
      </c>
      <c r="J14" s="1"/>
      <c r="K14" s="3">
        <v>70229</v>
      </c>
      <c r="L14" s="1">
        <v>373</v>
      </c>
      <c r="M14" s="4">
        <v>0.19291290999999999</v>
      </c>
      <c r="N14" s="10">
        <f t="shared" si="1"/>
        <v>0.19567196011310678</v>
      </c>
      <c r="O14" s="1"/>
      <c r="P14" s="3">
        <v>69923.7</v>
      </c>
      <c r="Q14" s="1">
        <v>423</v>
      </c>
      <c r="R14" s="4">
        <v>6.4628563E-2</v>
      </c>
      <c r="S14" s="10">
        <f t="shared" si="2"/>
        <v>7.3069149353349308E-2</v>
      </c>
    </row>
    <row r="15" spans="1:19" x14ac:dyDescent="0.25">
      <c r="A15" s="3">
        <v>59937.1</v>
      </c>
      <c r="B15" s="1">
        <v>323</v>
      </c>
      <c r="C15" s="4">
        <v>0.28667415600000001</v>
      </c>
      <c r="D15" s="10">
        <f t="shared" si="3"/>
        <v>0.28348778674517711</v>
      </c>
      <c r="E15" s="1"/>
      <c r="F15" s="3">
        <v>55114.5</v>
      </c>
      <c r="G15" s="1">
        <v>348</v>
      </c>
      <c r="H15" s="4">
        <v>0.23673033499999999</v>
      </c>
      <c r="I15" s="10">
        <f t="shared" si="0"/>
        <v>0.23292384451356313</v>
      </c>
      <c r="J15" s="1"/>
      <c r="K15" s="3">
        <v>80610.7</v>
      </c>
      <c r="L15" s="1">
        <v>373</v>
      </c>
      <c r="M15" s="4">
        <v>0.204837621</v>
      </c>
      <c r="N15" s="10">
        <f t="shared" si="1"/>
        <v>0.20853716276878551</v>
      </c>
      <c r="O15" s="1"/>
      <c r="P15" s="3">
        <v>80763.399999999994</v>
      </c>
      <c r="Q15" s="1">
        <v>423</v>
      </c>
      <c r="R15" s="4">
        <v>7.3767665999999996E-2</v>
      </c>
      <c r="S15" s="10">
        <f t="shared" si="2"/>
        <v>8.54309578186805E-2</v>
      </c>
    </row>
    <row r="16" spans="1:19" x14ac:dyDescent="0.25">
      <c r="A16" s="3">
        <v>69691.7</v>
      </c>
      <c r="B16" s="1">
        <v>323</v>
      </c>
      <c r="C16" s="4">
        <v>0.29015296800000001</v>
      </c>
      <c r="D16" s="10">
        <f t="shared" si="3"/>
        <v>0.28945848303724797</v>
      </c>
      <c r="E16" s="1"/>
      <c r="F16" s="3">
        <v>65190.8</v>
      </c>
      <c r="G16" s="1">
        <v>348</v>
      </c>
      <c r="H16" s="4">
        <v>0.244469358</v>
      </c>
      <c r="I16" s="10">
        <f t="shared" si="0"/>
        <v>0.2452371949082422</v>
      </c>
      <c r="J16" s="1"/>
      <c r="K16" s="3">
        <v>90229</v>
      </c>
      <c r="L16" s="1">
        <v>373</v>
      </c>
      <c r="M16" s="4">
        <v>0.211876384</v>
      </c>
      <c r="N16" s="10">
        <f t="shared" si="1"/>
        <v>0.21843953561225765</v>
      </c>
      <c r="O16" s="1"/>
      <c r="P16" s="3">
        <v>90992.4</v>
      </c>
      <c r="Q16" s="1">
        <v>423</v>
      </c>
      <c r="R16" s="4">
        <v>8.1508013000000004E-2</v>
      </c>
      <c r="S16" s="10">
        <f t="shared" si="2"/>
        <v>9.6963656700933362E-2</v>
      </c>
    </row>
    <row r="17" spans="1:19" x14ac:dyDescent="0.25">
      <c r="A17" s="3">
        <v>80817.600000000006</v>
      </c>
      <c r="B17" s="1">
        <v>323</v>
      </c>
      <c r="C17" s="4">
        <v>0.29502392300000002</v>
      </c>
      <c r="D17" s="10">
        <f t="shared" si="3"/>
        <v>0.2945738191700657</v>
      </c>
      <c r="E17" s="1"/>
      <c r="F17" s="3">
        <v>78167.899999999994</v>
      </c>
      <c r="G17" s="1">
        <v>348</v>
      </c>
      <c r="H17" s="4">
        <v>0.25222910700000001</v>
      </c>
      <c r="I17" s="10">
        <f t="shared" si="0"/>
        <v>0.25725372932004037</v>
      </c>
      <c r="J17" s="1"/>
      <c r="K17" s="3">
        <v>98931.3</v>
      </c>
      <c r="L17" s="1">
        <v>373</v>
      </c>
      <c r="M17" s="4">
        <v>0.21681745299999999</v>
      </c>
      <c r="N17" s="10">
        <f t="shared" si="1"/>
        <v>0.2261210423474028</v>
      </c>
      <c r="O17" s="1"/>
      <c r="P17" s="3">
        <v>99694.7</v>
      </c>
      <c r="Q17" s="1">
        <v>423</v>
      </c>
      <c r="R17" s="4">
        <v>9.2026469999999999E-2</v>
      </c>
      <c r="S17" s="10">
        <f t="shared" si="2"/>
        <v>0.10655226741041289</v>
      </c>
    </row>
    <row r="18" spans="1:19" x14ac:dyDescent="0.25">
      <c r="A18" s="3">
        <v>89658.2</v>
      </c>
      <c r="B18" s="1">
        <v>323</v>
      </c>
      <c r="C18" s="4">
        <v>0.297111034</v>
      </c>
      <c r="D18" s="10">
        <f t="shared" si="3"/>
        <v>0.29775124626499389</v>
      </c>
      <c r="E18" s="1"/>
      <c r="F18" s="3">
        <v>87022.9</v>
      </c>
      <c r="G18" s="1">
        <v>348</v>
      </c>
      <c r="H18" s="4">
        <v>0.25577671099999999</v>
      </c>
      <c r="I18" s="10">
        <f t="shared" si="0"/>
        <v>0.26371363913385443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>
        <v>99261.3</v>
      </c>
      <c r="B19" s="2">
        <v>323</v>
      </c>
      <c r="C19" s="6">
        <v>0.29850273500000002</v>
      </c>
      <c r="D19" s="11">
        <f t="shared" si="3"/>
        <v>0.30056515884981644</v>
      </c>
      <c r="E19" s="2"/>
      <c r="F19" s="5">
        <v>99694.7</v>
      </c>
      <c r="G19" s="2">
        <v>348</v>
      </c>
      <c r="H19" s="6">
        <v>0.25795642600000002</v>
      </c>
      <c r="I19" s="11">
        <f t="shared" si="0"/>
        <v>0.27121461616474024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51" t="s">
        <v>27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3"/>
    </row>
    <row r="22" spans="1:19" x14ac:dyDescent="0.25">
      <c r="A22" s="58" t="s">
        <v>10</v>
      </c>
      <c r="B22" s="57"/>
      <c r="C22" s="57"/>
      <c r="D22" s="59"/>
      <c r="E22" s="43" t="s">
        <v>36</v>
      </c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4"/>
    </row>
    <row r="23" spans="1:19" x14ac:dyDescent="0.25">
      <c r="A23" s="58" t="s">
        <v>12</v>
      </c>
      <c r="B23" s="57"/>
      <c r="C23" s="57"/>
      <c r="D23" s="59"/>
      <c r="E23" s="43" t="s">
        <v>37</v>
      </c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4"/>
    </row>
    <row r="24" spans="1:19" x14ac:dyDescent="0.25">
      <c r="A24" s="58" t="s">
        <v>14</v>
      </c>
      <c r="B24" s="57"/>
      <c r="C24" s="57"/>
      <c r="D24" s="59"/>
      <c r="E24" s="43" t="s">
        <v>38</v>
      </c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4"/>
    </row>
    <row r="25" spans="1:19" x14ac:dyDescent="0.25">
      <c r="A25" s="58" t="s">
        <v>16</v>
      </c>
      <c r="B25" s="57"/>
      <c r="C25" s="57"/>
      <c r="D25" s="59"/>
      <c r="E25" s="43" t="s">
        <v>39</v>
      </c>
      <c r="F25" s="43"/>
      <c r="G25" s="43"/>
      <c r="H25" s="43"/>
      <c r="I25" s="57" t="s">
        <v>24</v>
      </c>
      <c r="J25" s="57"/>
      <c r="K25" s="57"/>
      <c r="L25" s="57"/>
      <c r="M25" s="57"/>
      <c r="N25" s="43">
        <v>1</v>
      </c>
      <c r="O25" s="43"/>
      <c r="P25" s="43"/>
      <c r="Q25" s="43"/>
      <c r="R25" s="43"/>
      <c r="S25" s="44"/>
    </row>
    <row r="26" spans="1:19" x14ac:dyDescent="0.25">
      <c r="A26" s="58" t="s">
        <v>18</v>
      </c>
      <c r="B26" s="57"/>
      <c r="C26" s="57"/>
      <c r="D26" s="59"/>
      <c r="E26" s="43" t="s">
        <v>19</v>
      </c>
      <c r="F26" s="43"/>
      <c r="G26" s="43"/>
      <c r="H26" s="43"/>
      <c r="I26" s="73" t="s">
        <v>25</v>
      </c>
      <c r="J26" s="73"/>
      <c r="K26" s="73"/>
      <c r="L26" s="73"/>
      <c r="M26" s="73"/>
      <c r="N26" s="43">
        <v>1</v>
      </c>
      <c r="O26" s="43"/>
      <c r="P26" s="43"/>
      <c r="Q26" s="43"/>
      <c r="R26" s="43"/>
      <c r="S26" s="44"/>
    </row>
    <row r="27" spans="1:19" ht="15.75" thickBot="1" x14ac:dyDescent="0.3">
      <c r="A27" s="63" t="s">
        <v>20</v>
      </c>
      <c r="B27" s="64"/>
      <c r="C27" s="64"/>
      <c r="D27" s="65"/>
      <c r="E27" s="35" t="s">
        <v>21</v>
      </c>
      <c r="F27" s="35"/>
      <c r="G27" s="35"/>
      <c r="H27" s="35"/>
      <c r="I27" s="64" t="s">
        <v>26</v>
      </c>
      <c r="J27" s="64"/>
      <c r="K27" s="64"/>
      <c r="L27" s="64"/>
      <c r="M27" s="64"/>
      <c r="N27" s="35">
        <v>1</v>
      </c>
      <c r="O27" s="35"/>
      <c r="P27" s="35"/>
      <c r="Q27" s="35"/>
      <c r="R27" s="35"/>
      <c r="S27" s="36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4"/>
  </sheetPr>
  <dimension ref="A1:S26"/>
  <sheetViews>
    <sheetView zoomScaleNormal="100" workbookViewId="0">
      <selection activeCell="F28" sqref="F28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60" t="s">
        <v>29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2"/>
    </row>
    <row r="2" spans="1:19" x14ac:dyDescent="0.25">
      <c r="A2" s="71" t="s">
        <v>0</v>
      </c>
      <c r="B2" s="72"/>
      <c r="C2" s="72"/>
      <c r="D2" s="7" t="s">
        <v>23</v>
      </c>
      <c r="E2" s="1"/>
      <c r="F2" s="71" t="s">
        <v>1</v>
      </c>
      <c r="G2" s="72"/>
      <c r="H2" s="72"/>
      <c r="I2" s="7" t="s">
        <v>22</v>
      </c>
      <c r="J2" s="1"/>
      <c r="K2" s="71" t="s">
        <v>2</v>
      </c>
      <c r="L2" s="72"/>
      <c r="M2" s="72"/>
      <c r="N2" s="7" t="s">
        <v>47</v>
      </c>
      <c r="O2" s="1"/>
      <c r="P2" s="71" t="s">
        <v>3</v>
      </c>
      <c r="Q2" s="72"/>
      <c r="R2" s="72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50048.9</v>
      </c>
      <c r="B5" s="1">
        <v>294.5</v>
      </c>
      <c r="C5" s="4">
        <v>6.8276900000000001E-2</v>
      </c>
      <c r="D5" s="10">
        <f>ws_direct_ads_w_pT(A5,B5,$E$21,$E$22,$E$23,$E$24,$N$24,$E$25,$N$25,$E$26,$N$26)</f>
        <v>6.7017014803610997E-2</v>
      </c>
      <c r="E5" s="1"/>
      <c r="F5" s="3">
        <v>52256</v>
      </c>
      <c r="G5" s="1">
        <v>303.10000000000002</v>
      </c>
      <c r="H5" s="4">
        <v>5.4853899999999997E-2</v>
      </c>
      <c r="I5" s="10">
        <f t="shared" ref="I5:I18" si="0">ws_direct_ads_w_pT(F5,G5,$E$21,$E$22,$E$23,$E$24,$N$24,$E$25,$N$25,$E$26,$N$26)</f>
        <v>5.547107803929581E-2</v>
      </c>
      <c r="J5" s="1"/>
      <c r="K5" s="3">
        <v>51346</v>
      </c>
      <c r="L5" s="1">
        <v>329.9</v>
      </c>
      <c r="M5" s="4">
        <v>3.5680499999999997E-2</v>
      </c>
      <c r="N5" s="10">
        <f t="shared" ref="N5:N18" si="1">ws_direct_ads_w_pT(K5,L5,$E$21,$E$22,$E$23,$E$24,$N$24,$E$25,$N$25,$E$26,$N$26)</f>
        <v>2.7945914181163909E-2</v>
      </c>
      <c r="O5" s="1"/>
      <c r="P5" s="3">
        <v>51428.5</v>
      </c>
      <c r="Q5" s="1">
        <v>348.3</v>
      </c>
      <c r="R5" s="4">
        <v>2.46555E-2</v>
      </c>
      <c r="S5" s="10">
        <f t="shared" ref="S5:S18" si="2">ws_direct_ads_w_pT(P5,Q5,$E$21,$E$22,$E$23,$E$24,$N$24,$E$25,$N$25,$E$26,$N$26)</f>
        <v>1.8333621033679155E-2</v>
      </c>
    </row>
    <row r="6" spans="1:19" x14ac:dyDescent="0.25">
      <c r="A6" s="3">
        <v>100254</v>
      </c>
      <c r="B6" s="1">
        <v>294.5</v>
      </c>
      <c r="C6" s="4">
        <v>0.115702</v>
      </c>
      <c r="D6" s="10">
        <f>ws_direct_ads_w_pT(A6,B6,$E$21,$E$22,$E$23,$E$24,$N$24,$E$25,$N$25,$E$26,$N$26)</f>
        <v>0.11258354345557772</v>
      </c>
      <c r="E6" s="1"/>
      <c r="F6" s="3">
        <v>99412</v>
      </c>
      <c r="G6" s="1">
        <v>303.10000000000002</v>
      </c>
      <c r="H6" s="4">
        <v>8.7421200000000004E-2</v>
      </c>
      <c r="I6" s="10">
        <f t="shared" si="0"/>
        <v>9.2305312056271835E-2</v>
      </c>
      <c r="J6" s="1"/>
      <c r="K6" s="3">
        <v>100159</v>
      </c>
      <c r="L6" s="1">
        <v>329.9</v>
      </c>
      <c r="M6" s="4">
        <v>5.7940899999999997E-2</v>
      </c>
      <c r="N6" s="10">
        <f t="shared" si="1"/>
        <v>5.0661411973923987E-2</v>
      </c>
      <c r="O6" s="1"/>
      <c r="P6" s="3">
        <v>101342</v>
      </c>
      <c r="Q6" s="1">
        <v>348.3</v>
      </c>
      <c r="R6" s="4">
        <v>4.0683700000000003E-2</v>
      </c>
      <c r="S6" s="10">
        <f t="shared" si="2"/>
        <v>3.4376655648249134E-2</v>
      </c>
    </row>
    <row r="7" spans="1:19" x14ac:dyDescent="0.25">
      <c r="A7" s="3">
        <v>147507</v>
      </c>
      <c r="B7" s="1">
        <v>294.5</v>
      </c>
      <c r="C7" s="4">
        <v>0.135327</v>
      </c>
      <c r="D7" s="10">
        <f t="shared" ref="D7:D18" si="3">ws_direct_ads_w_pT(A7,B7,$E$21,$E$22,$E$23,$E$24,$N$24,$E$25,$N$25,$E$26,$N$26)</f>
        <v>0.14380914614393422</v>
      </c>
      <c r="E7" s="1"/>
      <c r="F7" s="3">
        <v>147607</v>
      </c>
      <c r="G7" s="1">
        <v>303.10000000000002</v>
      </c>
      <c r="H7" s="4">
        <v>0.121905</v>
      </c>
      <c r="I7" s="10">
        <f t="shared" si="0"/>
        <v>0.12149572764956913</v>
      </c>
      <c r="J7" s="1"/>
      <c r="K7" s="3">
        <v>146355</v>
      </c>
      <c r="L7" s="1">
        <v>329.9</v>
      </c>
      <c r="M7" s="4">
        <v>7.8045799999999999E-2</v>
      </c>
      <c r="N7" s="10">
        <f t="shared" si="1"/>
        <v>6.9387856854095334E-2</v>
      </c>
      <c r="O7" s="1"/>
      <c r="P7" s="3">
        <v>147047</v>
      </c>
      <c r="Q7" s="1">
        <v>348.3</v>
      </c>
      <c r="R7" s="4">
        <v>5.5995400000000001E-2</v>
      </c>
      <c r="S7" s="10">
        <f t="shared" si="2"/>
        <v>4.7761340758155614E-2</v>
      </c>
    </row>
    <row r="8" spans="1:19" x14ac:dyDescent="0.25">
      <c r="A8" s="3">
        <v>201018</v>
      </c>
      <c r="B8" s="1">
        <v>294.5</v>
      </c>
      <c r="C8" s="4">
        <v>0.16309699999999999</v>
      </c>
      <c r="D8" s="10">
        <f t="shared" si="3"/>
        <v>0.17052028524026452</v>
      </c>
      <c r="E8" s="1"/>
      <c r="F8" s="3">
        <v>200623</v>
      </c>
      <c r="G8" s="1">
        <v>303.10000000000002</v>
      </c>
      <c r="H8" s="4">
        <v>0.14560100000000001</v>
      </c>
      <c r="I8" s="10">
        <f t="shared" si="0"/>
        <v>0.14680062301711819</v>
      </c>
      <c r="J8" s="1"/>
      <c r="K8" s="3">
        <v>201544</v>
      </c>
      <c r="L8" s="1">
        <v>329.9</v>
      </c>
      <c r="M8" s="4">
        <v>9.2872499999999997E-2</v>
      </c>
      <c r="N8" s="10">
        <f t="shared" si="1"/>
        <v>8.889672462196227E-2</v>
      </c>
      <c r="O8" s="1"/>
      <c r="P8" s="3">
        <v>201712</v>
      </c>
      <c r="Q8" s="1">
        <v>348.3</v>
      </c>
      <c r="R8" s="4">
        <v>7.0343100000000006E-2</v>
      </c>
      <c r="S8" s="10">
        <f t="shared" si="2"/>
        <v>6.2348640076382314E-2</v>
      </c>
    </row>
    <row r="9" spans="1:19" x14ac:dyDescent="0.25">
      <c r="A9" s="3">
        <v>245649</v>
      </c>
      <c r="B9" s="1">
        <v>294.5</v>
      </c>
      <c r="C9" s="4">
        <v>0.181285</v>
      </c>
      <c r="D9" s="10">
        <f t="shared" si="3"/>
        <v>0.18800979151520375</v>
      </c>
      <c r="E9" s="1"/>
      <c r="F9" s="3">
        <v>247356</v>
      </c>
      <c r="G9" s="1">
        <v>303.10000000000002</v>
      </c>
      <c r="H9" s="4">
        <v>0.164268</v>
      </c>
      <c r="I9" s="10">
        <f t="shared" si="0"/>
        <v>0.16486267508677016</v>
      </c>
      <c r="J9" s="1"/>
      <c r="K9" s="3">
        <v>247781</v>
      </c>
      <c r="L9" s="1">
        <v>329.9</v>
      </c>
      <c r="M9" s="4">
        <v>0.107465</v>
      </c>
      <c r="N9" s="10">
        <f t="shared" si="1"/>
        <v>0.10326399249391474</v>
      </c>
      <c r="O9" s="1"/>
      <c r="P9" s="3">
        <v>247453</v>
      </c>
      <c r="Q9" s="1">
        <v>348.3</v>
      </c>
      <c r="R9" s="4">
        <v>8.0861299999999997E-2</v>
      </c>
      <c r="S9" s="10">
        <f t="shared" si="2"/>
        <v>7.3512649912273992E-2</v>
      </c>
    </row>
    <row r="10" spans="1:19" x14ac:dyDescent="0.25">
      <c r="A10" s="3">
        <v>293980</v>
      </c>
      <c r="B10" s="1">
        <v>294.5</v>
      </c>
      <c r="C10" s="4">
        <v>0.19755400000000001</v>
      </c>
      <c r="D10" s="10">
        <f t="shared" si="3"/>
        <v>0.20346202213126985</v>
      </c>
      <c r="E10" s="1"/>
      <c r="F10" s="3">
        <v>294161</v>
      </c>
      <c r="G10" s="1">
        <v>303.10000000000002</v>
      </c>
      <c r="H10" s="4">
        <v>0.173347</v>
      </c>
      <c r="I10" s="10">
        <f t="shared" si="0"/>
        <v>0.17998960636159572</v>
      </c>
      <c r="J10" s="1"/>
      <c r="K10" s="3">
        <v>294568</v>
      </c>
      <c r="L10" s="1">
        <v>329.9</v>
      </c>
      <c r="M10" s="4">
        <v>0.11894100000000001</v>
      </c>
      <c r="N10" s="10">
        <f t="shared" si="1"/>
        <v>0.11627445044557502</v>
      </c>
      <c r="O10" s="1"/>
      <c r="P10" s="3">
        <v>295310</v>
      </c>
      <c r="Q10" s="1">
        <v>348.3</v>
      </c>
      <c r="R10" s="4">
        <v>9.0179899999999993E-2</v>
      </c>
      <c r="S10" s="10">
        <f t="shared" si="2"/>
        <v>8.4299983591673178E-2</v>
      </c>
    </row>
    <row r="11" spans="1:19" x14ac:dyDescent="0.25">
      <c r="A11" s="3">
        <v>347060</v>
      </c>
      <c r="B11" s="1">
        <v>294.5</v>
      </c>
      <c r="C11" s="4">
        <v>0.21262200000000001</v>
      </c>
      <c r="D11" s="10">
        <f t="shared" si="3"/>
        <v>0.21734818662844602</v>
      </c>
      <c r="E11" s="1"/>
      <c r="F11" s="3">
        <v>346175</v>
      </c>
      <c r="G11" s="1">
        <v>303.10000000000002</v>
      </c>
      <c r="H11" s="4">
        <v>0.19009300000000001</v>
      </c>
      <c r="I11" s="10">
        <f t="shared" si="0"/>
        <v>0.19413401799347263</v>
      </c>
      <c r="J11" s="1"/>
      <c r="K11" s="3">
        <v>346086</v>
      </c>
      <c r="L11" s="1">
        <v>329.9</v>
      </c>
      <c r="M11" s="4">
        <v>0.13161300000000001</v>
      </c>
      <c r="N11" s="10">
        <f t="shared" si="1"/>
        <v>0.12909710493274223</v>
      </c>
      <c r="O11" s="1"/>
      <c r="P11" s="3">
        <v>348433</v>
      </c>
      <c r="Q11" s="1">
        <v>348.3</v>
      </c>
      <c r="R11" s="4">
        <v>9.9495299999999995E-2</v>
      </c>
      <c r="S11" s="10">
        <f t="shared" si="2"/>
        <v>9.5327588755053094E-2</v>
      </c>
    </row>
    <row r="12" spans="1:19" x14ac:dyDescent="0.25">
      <c r="A12" s="3">
        <v>399607</v>
      </c>
      <c r="B12" s="1">
        <v>294.5</v>
      </c>
      <c r="C12" s="4">
        <v>0.22864899999999999</v>
      </c>
      <c r="D12" s="10">
        <f t="shared" si="3"/>
        <v>0.22871655838790791</v>
      </c>
      <c r="E12" s="1"/>
      <c r="F12" s="3">
        <v>399797</v>
      </c>
      <c r="G12" s="1">
        <v>303.10000000000002</v>
      </c>
      <c r="H12" s="4">
        <v>0.20324300000000001</v>
      </c>
      <c r="I12" s="10">
        <f t="shared" si="0"/>
        <v>0.20643949836342979</v>
      </c>
      <c r="J12" s="1"/>
      <c r="K12" s="3">
        <v>399731</v>
      </c>
      <c r="L12" s="1">
        <v>329.9</v>
      </c>
      <c r="M12" s="4">
        <v>0.141647</v>
      </c>
      <c r="N12" s="10">
        <f t="shared" si="1"/>
        <v>0.1410314204531776</v>
      </c>
      <c r="O12" s="1"/>
      <c r="P12" s="3">
        <v>401033</v>
      </c>
      <c r="Q12" s="1">
        <v>348.3</v>
      </c>
      <c r="R12" s="4">
        <v>0.108332</v>
      </c>
      <c r="S12" s="10">
        <f t="shared" si="2"/>
        <v>0.1053785380220392</v>
      </c>
    </row>
    <row r="13" spans="1:19" x14ac:dyDescent="0.25">
      <c r="A13" s="3">
        <v>449032</v>
      </c>
      <c r="B13" s="1">
        <v>294.5</v>
      </c>
      <c r="C13" s="4">
        <v>0.23940400000000001</v>
      </c>
      <c r="D13" s="10">
        <f t="shared" si="3"/>
        <v>0.23775725826078684</v>
      </c>
      <c r="E13" s="1"/>
      <c r="F13" s="3">
        <v>449238</v>
      </c>
      <c r="G13" s="1">
        <v>303.10000000000002</v>
      </c>
      <c r="H13" s="4">
        <v>0.211842</v>
      </c>
      <c r="I13" s="10">
        <f t="shared" si="0"/>
        <v>0.21617517643141246</v>
      </c>
      <c r="J13" s="1"/>
      <c r="K13" s="3">
        <v>448642</v>
      </c>
      <c r="L13" s="1">
        <v>329.9</v>
      </c>
      <c r="M13" s="4">
        <v>0.150725</v>
      </c>
      <c r="N13" s="10">
        <f t="shared" si="1"/>
        <v>0.15083886024387561</v>
      </c>
      <c r="O13" s="1"/>
      <c r="P13" s="3">
        <v>450477</v>
      </c>
      <c r="Q13" s="1">
        <v>348.3</v>
      </c>
      <c r="R13" s="4">
        <v>0.116691</v>
      </c>
      <c r="S13" s="10">
        <f t="shared" si="2"/>
        <v>0.11412742929832696</v>
      </c>
    </row>
    <row r="14" spans="1:19" x14ac:dyDescent="0.25">
      <c r="A14" s="3">
        <v>497408</v>
      </c>
      <c r="B14" s="1">
        <v>294.5</v>
      </c>
      <c r="C14" s="4">
        <v>0.24968099999999999</v>
      </c>
      <c r="D14" s="10">
        <f t="shared" si="3"/>
        <v>0.24538427631284868</v>
      </c>
      <c r="E14" s="1"/>
      <c r="F14" s="3">
        <v>498145</v>
      </c>
      <c r="G14" s="1">
        <v>303.10000000000002</v>
      </c>
      <c r="H14" s="4">
        <v>0.221639</v>
      </c>
      <c r="I14" s="10">
        <f t="shared" si="0"/>
        <v>0.22458368851231816</v>
      </c>
      <c r="J14" s="1"/>
      <c r="K14" s="3">
        <v>498616</v>
      </c>
      <c r="L14" s="1">
        <v>329.9</v>
      </c>
      <c r="M14" s="4">
        <v>0.158605</v>
      </c>
      <c r="N14" s="10">
        <f t="shared" si="1"/>
        <v>0.1599497885843662</v>
      </c>
      <c r="O14" s="1"/>
      <c r="P14" s="3">
        <v>497821</v>
      </c>
      <c r="Q14" s="1">
        <v>348.3</v>
      </c>
      <c r="R14" s="4">
        <v>0.12409199999999999</v>
      </c>
      <c r="S14" s="10">
        <f t="shared" si="2"/>
        <v>0.12193637453169315</v>
      </c>
    </row>
    <row r="15" spans="1:19" x14ac:dyDescent="0.25">
      <c r="A15" s="3">
        <v>548421</v>
      </c>
      <c r="B15" s="1">
        <v>294.5</v>
      </c>
      <c r="C15" s="4">
        <v>0.25947700000000001</v>
      </c>
      <c r="D15" s="10">
        <f t="shared" si="3"/>
        <v>0.25237432639779106</v>
      </c>
      <c r="E15" s="1"/>
      <c r="F15" s="3">
        <v>548628</v>
      </c>
      <c r="G15" s="1">
        <v>303.10000000000002</v>
      </c>
      <c r="H15" s="4">
        <v>0.23191500000000001</v>
      </c>
      <c r="I15" s="10">
        <f t="shared" si="0"/>
        <v>0.23221821781386556</v>
      </c>
      <c r="J15" s="1"/>
      <c r="K15" s="3">
        <v>549644</v>
      </c>
      <c r="L15" s="1">
        <v>329.9</v>
      </c>
      <c r="M15" s="4">
        <v>0.16648299999999999</v>
      </c>
      <c r="N15" s="10">
        <f t="shared" si="1"/>
        <v>0.16842886977657837</v>
      </c>
      <c r="O15" s="1"/>
      <c r="P15" s="3">
        <v>548848</v>
      </c>
      <c r="Q15" s="1">
        <v>348.3</v>
      </c>
      <c r="R15" s="4">
        <v>0.131971</v>
      </c>
      <c r="S15" s="10">
        <f t="shared" si="2"/>
        <v>0.12979248369205731</v>
      </c>
    </row>
    <row r="16" spans="1:19" x14ac:dyDescent="0.25">
      <c r="A16" s="3">
        <v>597349</v>
      </c>
      <c r="B16" s="1">
        <v>294.5</v>
      </c>
      <c r="C16" s="4">
        <v>0.26639800000000002</v>
      </c>
      <c r="D16" s="10">
        <f t="shared" si="3"/>
        <v>0.25824968780499424</v>
      </c>
      <c r="E16" s="1"/>
      <c r="F16" s="3">
        <v>597557</v>
      </c>
      <c r="G16" s="1">
        <v>303.10000000000002</v>
      </c>
      <c r="H16" s="4">
        <v>0.238596</v>
      </c>
      <c r="I16" s="10">
        <f t="shared" si="0"/>
        <v>0.23877654907358681</v>
      </c>
      <c r="J16" s="1"/>
      <c r="K16" s="3">
        <v>599614</v>
      </c>
      <c r="L16" s="1">
        <v>329.9</v>
      </c>
      <c r="M16" s="4">
        <v>0.174842</v>
      </c>
      <c r="N16" s="10">
        <f t="shared" si="1"/>
        <v>0.17602760208094897</v>
      </c>
      <c r="O16" s="1"/>
      <c r="P16" s="3">
        <v>599879</v>
      </c>
      <c r="Q16" s="1">
        <v>348.3</v>
      </c>
      <c r="R16" s="4">
        <v>0.13936999999999999</v>
      </c>
      <c r="S16" s="10">
        <f t="shared" si="2"/>
        <v>0.13712466878401594</v>
      </c>
    </row>
    <row r="17" spans="1:19" x14ac:dyDescent="0.25">
      <c r="A17" s="3">
        <v>650994</v>
      </c>
      <c r="B17" s="1">
        <v>294.5</v>
      </c>
      <c r="C17" s="4">
        <v>0.27643299999999998</v>
      </c>
      <c r="D17" s="10">
        <f t="shared" si="3"/>
        <v>0.26392485394144816</v>
      </c>
      <c r="E17" s="1"/>
      <c r="F17" s="3">
        <v>650118</v>
      </c>
      <c r="G17" s="1">
        <v>303.10000000000002</v>
      </c>
      <c r="H17" s="4">
        <v>0.25270500000000001</v>
      </c>
      <c r="I17" s="10">
        <f t="shared" si="0"/>
        <v>0.24505041985722231</v>
      </c>
      <c r="J17" s="1"/>
      <c r="K17" s="3">
        <v>651170</v>
      </c>
      <c r="L17" s="1">
        <v>329.9</v>
      </c>
      <c r="M17" s="4">
        <v>0.182481</v>
      </c>
      <c r="N17" s="10">
        <f t="shared" si="1"/>
        <v>0.18322656650109462</v>
      </c>
      <c r="O17" s="1"/>
      <c r="P17" s="3">
        <v>651444</v>
      </c>
      <c r="Q17" s="1">
        <v>348.3</v>
      </c>
      <c r="R17" s="4">
        <v>0.14581</v>
      </c>
      <c r="S17" s="10">
        <f t="shared" si="2"/>
        <v>0.14405255561550959</v>
      </c>
    </row>
    <row r="18" spans="1:19" ht="15.75" thickBot="1" x14ac:dyDescent="0.3">
      <c r="A18" s="5">
        <v>699930</v>
      </c>
      <c r="B18" s="2">
        <v>294.5</v>
      </c>
      <c r="C18" s="6">
        <v>0.28215499999999999</v>
      </c>
      <c r="D18" s="11">
        <f t="shared" si="3"/>
        <v>0.26851880356442492</v>
      </c>
      <c r="E18" s="2"/>
      <c r="F18" s="5">
        <v>700647</v>
      </c>
      <c r="G18" s="2">
        <v>303.10000000000002</v>
      </c>
      <c r="H18" s="6">
        <v>0.25674999999999998</v>
      </c>
      <c r="I18" s="11">
        <f t="shared" si="0"/>
        <v>0.25044570804643734</v>
      </c>
      <c r="J18" s="2"/>
      <c r="K18" s="5">
        <v>699574</v>
      </c>
      <c r="L18" s="2">
        <v>329.9</v>
      </c>
      <c r="M18" s="6">
        <v>0.18892300000000001</v>
      </c>
      <c r="N18" s="11">
        <f t="shared" si="1"/>
        <v>0.18946177524993404</v>
      </c>
      <c r="O18" s="2"/>
      <c r="P18" s="5">
        <v>701434</v>
      </c>
      <c r="Q18" s="2">
        <v>348.3</v>
      </c>
      <c r="R18" s="6">
        <v>0.151533</v>
      </c>
      <c r="S18" s="11">
        <f t="shared" si="2"/>
        <v>0.15035044262139285</v>
      </c>
    </row>
    <row r="19" spans="1:19" ht="15.75" thickBot="1" x14ac:dyDescent="0.3"/>
    <row r="20" spans="1:19" ht="15.75" thickBot="1" x14ac:dyDescent="0.3">
      <c r="A20" s="51" t="s">
        <v>27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3"/>
    </row>
    <row r="21" spans="1:19" x14ac:dyDescent="0.25">
      <c r="A21" s="58" t="s">
        <v>10</v>
      </c>
      <c r="B21" s="57"/>
      <c r="C21" s="57"/>
      <c r="D21" s="59"/>
      <c r="E21" s="43" t="s">
        <v>11</v>
      </c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4"/>
    </row>
    <row r="22" spans="1:19" x14ac:dyDescent="0.25">
      <c r="A22" s="58" t="s">
        <v>12</v>
      </c>
      <c r="B22" s="57"/>
      <c r="C22" s="57"/>
      <c r="D22" s="59"/>
      <c r="E22" s="43" t="s">
        <v>13</v>
      </c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4"/>
    </row>
    <row r="23" spans="1:19" x14ac:dyDescent="0.25">
      <c r="A23" s="58" t="s">
        <v>14</v>
      </c>
      <c r="B23" s="57"/>
      <c r="C23" s="57"/>
      <c r="D23" s="59"/>
      <c r="E23" s="43" t="s">
        <v>15</v>
      </c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4"/>
    </row>
    <row r="24" spans="1:19" x14ac:dyDescent="0.25">
      <c r="A24" s="58" t="s">
        <v>16</v>
      </c>
      <c r="B24" s="57"/>
      <c r="C24" s="57"/>
      <c r="D24" s="59"/>
      <c r="E24" s="43" t="s">
        <v>17</v>
      </c>
      <c r="F24" s="43"/>
      <c r="G24" s="43"/>
      <c r="H24" s="43"/>
      <c r="I24" s="57" t="s">
        <v>24</v>
      </c>
      <c r="J24" s="57"/>
      <c r="K24" s="57"/>
      <c r="L24" s="57"/>
      <c r="M24" s="57"/>
      <c r="N24" s="43">
        <v>1</v>
      </c>
      <c r="O24" s="43"/>
      <c r="P24" s="43"/>
      <c r="Q24" s="43"/>
      <c r="R24" s="43"/>
      <c r="S24" s="44"/>
    </row>
    <row r="25" spans="1:19" x14ac:dyDescent="0.25">
      <c r="A25" s="58" t="s">
        <v>18</v>
      </c>
      <c r="B25" s="57"/>
      <c r="C25" s="57"/>
      <c r="D25" s="59"/>
      <c r="E25" s="43" t="s">
        <v>19</v>
      </c>
      <c r="F25" s="43"/>
      <c r="G25" s="43"/>
      <c r="H25" s="43"/>
      <c r="I25" s="73" t="s">
        <v>25</v>
      </c>
      <c r="J25" s="73"/>
      <c r="K25" s="73"/>
      <c r="L25" s="73"/>
      <c r="M25" s="73"/>
      <c r="N25" s="43">
        <v>1</v>
      </c>
      <c r="O25" s="43"/>
      <c r="P25" s="43"/>
      <c r="Q25" s="43"/>
      <c r="R25" s="43"/>
      <c r="S25" s="44"/>
    </row>
    <row r="26" spans="1:19" ht="15.75" thickBot="1" x14ac:dyDescent="0.3">
      <c r="A26" s="63" t="s">
        <v>20</v>
      </c>
      <c r="B26" s="64"/>
      <c r="C26" s="64"/>
      <c r="D26" s="65"/>
      <c r="E26" s="35" t="s">
        <v>21</v>
      </c>
      <c r="F26" s="35"/>
      <c r="G26" s="35"/>
      <c r="H26" s="35"/>
      <c r="I26" s="64" t="s">
        <v>26</v>
      </c>
      <c r="J26" s="64"/>
      <c r="K26" s="64"/>
      <c r="L26" s="64"/>
      <c r="M26" s="64"/>
      <c r="N26" s="35">
        <v>1</v>
      </c>
      <c r="O26" s="35"/>
      <c r="P26" s="35"/>
      <c r="Q26" s="35"/>
      <c r="R26" s="35"/>
      <c r="S26" s="36"/>
    </row>
  </sheetData>
  <mergeCells count="24"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/>
  </sheetPr>
  <dimension ref="A1:S26"/>
  <sheetViews>
    <sheetView tabSelected="1" zoomScaleNormal="100" workbookViewId="0">
      <selection activeCell="M33" sqref="M33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60" t="s">
        <v>120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2"/>
    </row>
    <row r="2" spans="1:19" x14ac:dyDescent="0.25">
      <c r="A2" s="71" t="s">
        <v>0</v>
      </c>
      <c r="B2" s="72"/>
      <c r="C2" s="72"/>
      <c r="D2" s="7" t="s">
        <v>23</v>
      </c>
      <c r="E2" s="1"/>
      <c r="F2" s="71" t="s">
        <v>1</v>
      </c>
      <c r="G2" s="72"/>
      <c r="H2" s="72"/>
      <c r="I2" s="7" t="s">
        <v>22</v>
      </c>
      <c r="J2" s="1"/>
      <c r="K2" s="71" t="s">
        <v>2</v>
      </c>
      <c r="L2" s="72"/>
      <c r="M2" s="72"/>
      <c r="N2" s="7" t="s">
        <v>47</v>
      </c>
      <c r="O2" s="1"/>
      <c r="P2" s="71" t="s">
        <v>3</v>
      </c>
      <c r="Q2" s="72"/>
      <c r="R2" s="72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44955.8</v>
      </c>
      <c r="B5" s="1">
        <v>294.5</v>
      </c>
      <c r="C5" s="4">
        <v>1.1921599999999999E-2</v>
      </c>
      <c r="D5" s="10">
        <f>ws_direct_ads_w_pT(A5,B5,$E$21,$E$22,$E$23,$E$24,$N$24,$E$25,$N$25,$E$26,$N$26)</f>
        <v>1.0135440721262897E-2</v>
      </c>
      <c r="E5" s="1"/>
      <c r="F5" s="3">
        <v>50093.8</v>
      </c>
      <c r="G5" s="1">
        <v>303.10000000000002</v>
      </c>
      <c r="H5" s="4">
        <v>9.6209199999999998E-3</v>
      </c>
      <c r="I5" s="10">
        <f t="shared" ref="I5:I18" si="0">ws_direct_ads_w_pT(F5,G5,$E$21,$E$22,$E$23,$E$24,$N$24,$E$25,$N$25,$E$26,$N$26)</f>
        <v>9.1430506902843486E-3</v>
      </c>
      <c r="J5" s="1"/>
      <c r="K5" s="3">
        <v>45162</v>
      </c>
      <c r="L5" s="1">
        <v>329.9</v>
      </c>
      <c r="M5" s="4">
        <v>6.6928100000000004E-3</v>
      </c>
      <c r="N5" s="10">
        <f t="shared" ref="N5:N18" si="1">ws_direct_ads_w_pT(K5,L5,$E$21,$E$22,$E$23,$E$24,$N$24,$E$25,$N$25,$E$26,$N$26)</f>
        <v>4.6844555082260686E-3</v>
      </c>
      <c r="O5" s="1"/>
      <c r="P5" s="3">
        <v>47817.599999999999</v>
      </c>
      <c r="Q5" s="1">
        <v>348.3</v>
      </c>
      <c r="R5" s="4">
        <v>3.3464100000000002E-3</v>
      </c>
      <c r="S5" s="10">
        <f t="shared" ref="S5:S18" si="2">ws_direct_ads_w_pT(P5,Q5,$E$21,$E$22,$E$23,$E$24,$N$24,$E$25,$N$25,$E$26,$N$26)</f>
        <v>3.4643259583542903E-3</v>
      </c>
    </row>
    <row r="6" spans="1:19" x14ac:dyDescent="0.25">
      <c r="A6" s="3">
        <v>97655.7</v>
      </c>
      <c r="B6" s="1">
        <v>294.5</v>
      </c>
      <c r="C6" s="4">
        <v>1.9451E-2</v>
      </c>
      <c r="D6" s="10">
        <f>ws_direct_ads_w_pT(A6,B6,$E$21,$E$22,$E$23,$E$24,$N$24,$E$25,$N$25,$E$26,$N$26)</f>
        <v>1.907919276377788E-2</v>
      </c>
      <c r="E6" s="1"/>
      <c r="F6" s="3">
        <v>97771.199999999997</v>
      </c>
      <c r="G6" s="1">
        <v>303.10000000000002</v>
      </c>
      <c r="H6" s="4">
        <v>1.65229E-2</v>
      </c>
      <c r="I6" s="10">
        <f t="shared" si="0"/>
        <v>1.6036631345319251E-2</v>
      </c>
      <c r="J6" s="1"/>
      <c r="K6" s="3">
        <v>100501</v>
      </c>
      <c r="L6" s="1">
        <v>329.9</v>
      </c>
      <c r="M6" s="4">
        <v>1.12941E-2</v>
      </c>
      <c r="N6" s="10">
        <f t="shared" si="1"/>
        <v>9.7027828866948652E-3</v>
      </c>
      <c r="O6" s="1"/>
      <c r="P6" s="3">
        <v>100666</v>
      </c>
      <c r="Q6" s="1">
        <v>348.3</v>
      </c>
      <c r="R6" s="4">
        <v>7.1111100000000003E-3</v>
      </c>
      <c r="S6" s="10">
        <f t="shared" si="2"/>
        <v>6.948368632265306E-3</v>
      </c>
    </row>
    <row r="7" spans="1:19" x14ac:dyDescent="0.25">
      <c r="A7" s="3">
        <v>150405</v>
      </c>
      <c r="B7" s="1">
        <v>294.5</v>
      </c>
      <c r="C7" s="4">
        <v>2.5725499999999998E-2</v>
      </c>
      <c r="D7" s="10">
        <f t="shared" ref="D7:D18" si="3">ws_direct_ads_w_pT(A7,B7,$E$21,$E$22,$E$23,$E$24,$N$24,$E$25,$N$25,$E$26,$N$26)</f>
        <v>2.5922892296292629E-2</v>
      </c>
      <c r="E7" s="1"/>
      <c r="F7" s="3">
        <v>150554</v>
      </c>
      <c r="G7" s="1">
        <v>303.10000000000002</v>
      </c>
      <c r="H7" s="4">
        <v>2.1960799999999999E-2</v>
      </c>
      <c r="I7" s="10">
        <f t="shared" si="0"/>
        <v>2.2203146397276996E-2</v>
      </c>
      <c r="J7" s="1"/>
      <c r="K7" s="3">
        <v>150850</v>
      </c>
      <c r="L7" s="1">
        <v>329.9</v>
      </c>
      <c r="M7" s="4">
        <v>1.44314E-2</v>
      </c>
      <c r="N7" s="10">
        <f t="shared" si="1"/>
        <v>1.3700651079646603E-2</v>
      </c>
      <c r="O7" s="1"/>
      <c r="P7" s="3">
        <v>151024</v>
      </c>
      <c r="Q7" s="1">
        <v>348.3</v>
      </c>
      <c r="R7" s="4">
        <v>1.00392E-2</v>
      </c>
      <c r="S7" s="10">
        <f t="shared" si="2"/>
        <v>9.9749652781005432E-3</v>
      </c>
    </row>
    <row r="8" spans="1:19" x14ac:dyDescent="0.25">
      <c r="A8" s="3">
        <v>195650</v>
      </c>
      <c r="B8" s="1">
        <v>294.5</v>
      </c>
      <c r="C8" s="4">
        <v>3.0326800000000001E-2</v>
      </c>
      <c r="D8" s="10">
        <f t="shared" si="3"/>
        <v>3.0626101441831893E-2</v>
      </c>
      <c r="E8" s="1"/>
      <c r="F8" s="3">
        <v>193274</v>
      </c>
      <c r="G8" s="1">
        <v>303.10000000000002</v>
      </c>
      <c r="H8" s="4">
        <v>2.6562100000000002E-2</v>
      </c>
      <c r="I8" s="10">
        <f t="shared" si="0"/>
        <v>2.6351869063666326E-2</v>
      </c>
      <c r="J8" s="1"/>
      <c r="K8" s="3">
        <v>193621</v>
      </c>
      <c r="L8" s="1">
        <v>329.9</v>
      </c>
      <c r="M8" s="4">
        <v>1.77778E-2</v>
      </c>
      <c r="N8" s="10">
        <f t="shared" si="1"/>
        <v>1.6742425577673112E-2</v>
      </c>
      <c r="O8" s="1"/>
      <c r="P8" s="3">
        <v>193810</v>
      </c>
      <c r="Q8" s="1">
        <v>348.3</v>
      </c>
      <c r="R8" s="4">
        <v>1.2967299999999999E-2</v>
      </c>
      <c r="S8" s="10">
        <f t="shared" si="2"/>
        <v>1.2348704037988332E-2</v>
      </c>
    </row>
    <row r="9" spans="1:19" x14ac:dyDescent="0.25">
      <c r="A9" s="3">
        <v>248481</v>
      </c>
      <c r="B9" s="1">
        <v>294.5</v>
      </c>
      <c r="C9" s="4">
        <v>3.45098E-2</v>
      </c>
      <c r="D9" s="10">
        <f t="shared" si="3"/>
        <v>3.5131043536065117E-2</v>
      </c>
      <c r="E9" s="1"/>
      <c r="F9" s="3">
        <v>251145</v>
      </c>
      <c r="G9" s="1">
        <v>303.10000000000002</v>
      </c>
      <c r="H9" s="4">
        <v>3.0954200000000001E-2</v>
      </c>
      <c r="I9" s="10">
        <f t="shared" si="0"/>
        <v>3.1065757945262947E-2</v>
      </c>
      <c r="J9" s="1"/>
      <c r="K9" s="3">
        <v>249018</v>
      </c>
      <c r="L9" s="1">
        <v>329.9</v>
      </c>
      <c r="M9" s="4">
        <v>2.0915E-2</v>
      </c>
      <c r="N9" s="10">
        <f t="shared" si="1"/>
        <v>2.0274081766638582E-2</v>
      </c>
      <c r="O9" s="1"/>
      <c r="P9" s="3">
        <v>249248</v>
      </c>
      <c r="Q9" s="1">
        <v>348.3</v>
      </c>
      <c r="R9" s="4">
        <v>1.5058800000000001E-2</v>
      </c>
      <c r="S9" s="10">
        <f t="shared" si="2"/>
        <v>1.5185842841124404E-2</v>
      </c>
    </row>
    <row r="10" spans="1:19" x14ac:dyDescent="0.25">
      <c r="A10" s="3">
        <v>293775</v>
      </c>
      <c r="B10" s="1">
        <v>294.5</v>
      </c>
      <c r="C10" s="4">
        <v>3.78562E-2</v>
      </c>
      <c r="D10" s="10">
        <f t="shared" si="3"/>
        <v>3.8352141855163398E-2</v>
      </c>
      <c r="E10" s="1"/>
      <c r="F10" s="3">
        <v>293940</v>
      </c>
      <c r="G10" s="1">
        <v>303.10000000000002</v>
      </c>
      <c r="H10" s="4">
        <v>3.36732E-2</v>
      </c>
      <c r="I10" s="10">
        <f t="shared" si="0"/>
        <v>3.4025241433733096E-2</v>
      </c>
      <c r="J10" s="1"/>
      <c r="K10" s="3">
        <v>291829</v>
      </c>
      <c r="L10" s="1">
        <v>329.9</v>
      </c>
      <c r="M10" s="4">
        <v>2.3215699999999999E-2</v>
      </c>
      <c r="N10" s="10">
        <f t="shared" si="1"/>
        <v>2.2732783164435492E-2</v>
      </c>
      <c r="O10" s="1"/>
      <c r="P10" s="3">
        <v>292052</v>
      </c>
      <c r="Q10" s="1">
        <v>348.3</v>
      </c>
      <c r="R10" s="4">
        <v>1.75686E-2</v>
      </c>
      <c r="S10" s="10">
        <f t="shared" si="2"/>
        <v>1.7212053983381232E-2</v>
      </c>
    </row>
    <row r="11" spans="1:19" x14ac:dyDescent="0.25">
      <c r="A11" s="3">
        <v>344125</v>
      </c>
      <c r="B11" s="1">
        <v>294.5</v>
      </c>
      <c r="C11" s="4">
        <v>4.0993500000000002E-2</v>
      </c>
      <c r="D11" s="10">
        <f t="shared" si="3"/>
        <v>4.1398896310193972E-2</v>
      </c>
      <c r="E11" s="1"/>
      <c r="F11" s="3">
        <v>344298</v>
      </c>
      <c r="G11" s="1">
        <v>303.10000000000002</v>
      </c>
      <c r="H11" s="4">
        <v>3.6601300000000003E-2</v>
      </c>
      <c r="I11" s="10">
        <f t="shared" si="0"/>
        <v>3.705529055738159E-2</v>
      </c>
      <c r="J11" s="1"/>
      <c r="K11" s="3">
        <v>344727</v>
      </c>
      <c r="L11" s="1">
        <v>329.9</v>
      </c>
      <c r="M11" s="4">
        <v>2.5725499999999998E-2</v>
      </c>
      <c r="N11" s="10">
        <f t="shared" si="1"/>
        <v>2.5492156698284037E-2</v>
      </c>
      <c r="O11" s="1"/>
      <c r="P11" s="3">
        <v>344983</v>
      </c>
      <c r="Q11" s="1">
        <v>348.3</v>
      </c>
      <c r="R11" s="4">
        <v>1.92418E-2</v>
      </c>
      <c r="S11" s="10">
        <f t="shared" si="2"/>
        <v>1.9541565623320892E-2</v>
      </c>
    </row>
    <row r="12" spans="1:19" x14ac:dyDescent="0.25">
      <c r="A12" s="3">
        <v>391959</v>
      </c>
      <c r="B12" s="1">
        <v>294.5</v>
      </c>
      <c r="C12" s="4">
        <v>4.3921599999999998E-2</v>
      </c>
      <c r="D12" s="10">
        <f t="shared" si="3"/>
        <v>4.3881095995629844E-2</v>
      </c>
      <c r="E12" s="1"/>
      <c r="F12" s="3">
        <v>392124</v>
      </c>
      <c r="G12" s="1">
        <v>303.10000000000002</v>
      </c>
      <c r="H12" s="4">
        <v>3.9738599999999999E-2</v>
      </c>
      <c r="I12" s="10">
        <f t="shared" si="0"/>
        <v>3.9563562969387171E-2</v>
      </c>
      <c r="J12" s="1"/>
      <c r="K12" s="3">
        <v>392586</v>
      </c>
      <c r="L12" s="1">
        <v>329.9</v>
      </c>
      <c r="M12" s="4">
        <v>2.8026100000000002E-2</v>
      </c>
      <c r="N12" s="10">
        <f t="shared" si="1"/>
        <v>2.7758194247505297E-2</v>
      </c>
      <c r="O12" s="1"/>
      <c r="P12" s="3">
        <v>392850</v>
      </c>
      <c r="Q12" s="1">
        <v>348.3</v>
      </c>
      <c r="R12" s="4">
        <v>2.1333299999999999E-2</v>
      </c>
      <c r="S12" s="10">
        <f t="shared" si="2"/>
        <v>2.1497625852948211E-2</v>
      </c>
    </row>
    <row r="13" spans="1:19" x14ac:dyDescent="0.25">
      <c r="A13" s="3">
        <v>444849</v>
      </c>
      <c r="B13" s="1">
        <v>294.5</v>
      </c>
      <c r="C13" s="4">
        <v>4.6640500000000001E-2</v>
      </c>
      <c r="D13" s="10">
        <f t="shared" si="3"/>
        <v>4.6253179761508466E-2</v>
      </c>
      <c r="E13" s="1"/>
      <c r="F13" s="3">
        <v>445022</v>
      </c>
      <c r="G13" s="1">
        <v>303.10000000000002</v>
      </c>
      <c r="H13" s="4">
        <v>4.2248399999999998E-2</v>
      </c>
      <c r="I13" s="10">
        <f t="shared" si="0"/>
        <v>4.1996113025851774E-2</v>
      </c>
      <c r="J13" s="1"/>
      <c r="K13" s="3">
        <v>445492</v>
      </c>
      <c r="L13" s="1">
        <v>329.9</v>
      </c>
      <c r="M13" s="4">
        <v>3.0326800000000001E-2</v>
      </c>
      <c r="N13" s="10">
        <f t="shared" si="1"/>
        <v>3.0042608488432074E-2</v>
      </c>
      <c r="O13" s="1"/>
      <c r="P13" s="3">
        <v>445764</v>
      </c>
      <c r="Q13" s="1">
        <v>348.3</v>
      </c>
      <c r="R13" s="4">
        <v>2.3424799999999999E-2</v>
      </c>
      <c r="S13" s="10">
        <f t="shared" si="2"/>
        <v>2.3510982597722135E-2</v>
      </c>
    </row>
    <row r="14" spans="1:19" x14ac:dyDescent="0.25">
      <c r="A14" s="3">
        <v>495223</v>
      </c>
      <c r="B14" s="1">
        <v>294.5</v>
      </c>
      <c r="C14" s="4">
        <v>4.9150300000000001E-2</v>
      </c>
      <c r="D14" s="10">
        <f t="shared" si="3"/>
        <v>4.8218054851452953E-2</v>
      </c>
      <c r="E14" s="1"/>
      <c r="F14" s="3">
        <v>495412</v>
      </c>
      <c r="G14" s="1">
        <v>303.10000000000002</v>
      </c>
      <c r="H14" s="4">
        <v>4.4339900000000002E-2</v>
      </c>
      <c r="I14" s="10">
        <f t="shared" si="0"/>
        <v>4.4037626752968316E-2</v>
      </c>
      <c r="J14" s="1"/>
      <c r="K14" s="3">
        <v>495883</v>
      </c>
      <c r="L14" s="1">
        <v>329.9</v>
      </c>
      <c r="M14" s="4">
        <v>3.2418299999999997E-2</v>
      </c>
      <c r="N14" s="10">
        <f t="shared" si="1"/>
        <v>3.2030296628920228E-2</v>
      </c>
      <c r="O14" s="1"/>
      <c r="P14" s="3">
        <v>496171</v>
      </c>
      <c r="Q14" s="1">
        <v>348.3</v>
      </c>
      <c r="R14" s="4">
        <v>2.5097999999999999E-2</v>
      </c>
      <c r="S14" s="10">
        <f t="shared" si="2"/>
        <v>2.5298014515780794E-2</v>
      </c>
    </row>
    <row r="15" spans="1:19" x14ac:dyDescent="0.25">
      <c r="A15" s="3">
        <v>548137</v>
      </c>
      <c r="B15" s="1">
        <v>294.5</v>
      </c>
      <c r="C15" s="4">
        <v>5.1241799999999997E-2</v>
      </c>
      <c r="D15" s="10">
        <f t="shared" si="3"/>
        <v>5.002985483054298E-2</v>
      </c>
      <c r="E15" s="1"/>
      <c r="F15" s="3">
        <v>545820</v>
      </c>
      <c r="G15" s="1">
        <v>303.10000000000002</v>
      </c>
      <c r="H15" s="4">
        <v>4.6013100000000001E-2</v>
      </c>
      <c r="I15" s="10">
        <f t="shared" si="0"/>
        <v>4.5855753635869731E-2</v>
      </c>
      <c r="J15" s="1"/>
      <c r="K15" s="3">
        <v>546290</v>
      </c>
      <c r="L15" s="1">
        <v>329.9</v>
      </c>
      <c r="M15" s="4">
        <v>3.4091499999999997E-2</v>
      </c>
      <c r="N15" s="10">
        <f t="shared" si="1"/>
        <v>3.3857647392102883E-2</v>
      </c>
      <c r="O15" s="1"/>
      <c r="P15" s="3">
        <v>546587</v>
      </c>
      <c r="Q15" s="1">
        <v>348.3</v>
      </c>
      <c r="R15" s="4">
        <v>2.6562100000000002E-2</v>
      </c>
      <c r="S15" s="10">
        <f t="shared" si="2"/>
        <v>2.6970136276840525E-2</v>
      </c>
    </row>
    <row r="16" spans="1:19" x14ac:dyDescent="0.25">
      <c r="A16" s="3">
        <v>598520</v>
      </c>
      <c r="B16" s="1">
        <v>294.5</v>
      </c>
      <c r="C16" s="4">
        <v>5.35425E-2</v>
      </c>
      <c r="D16" s="10">
        <f t="shared" si="3"/>
        <v>5.155607062475033E-2</v>
      </c>
      <c r="E16" s="1"/>
      <c r="F16" s="3">
        <v>601266</v>
      </c>
      <c r="G16" s="1">
        <v>303.10000000000002</v>
      </c>
      <c r="H16" s="4">
        <v>4.7895399999999998E-2</v>
      </c>
      <c r="I16" s="10">
        <f t="shared" si="0"/>
        <v>4.7638241721019658E-2</v>
      </c>
      <c r="J16" s="1"/>
      <c r="K16" s="3">
        <v>601744</v>
      </c>
      <c r="L16" s="1">
        <v>329.9</v>
      </c>
      <c r="M16" s="4">
        <v>3.5764700000000003E-2</v>
      </c>
      <c r="N16" s="10">
        <f t="shared" si="1"/>
        <v>3.5704325810204177E-2</v>
      </c>
      <c r="O16" s="1"/>
      <c r="P16" s="3">
        <v>599518</v>
      </c>
      <c r="Q16" s="1">
        <v>348.3</v>
      </c>
      <c r="R16" s="4">
        <v>2.8235300000000001E-2</v>
      </c>
      <c r="S16" s="10">
        <f t="shared" si="2"/>
        <v>2.8613458301138917E-2</v>
      </c>
    </row>
    <row r="17" spans="1:19" x14ac:dyDescent="0.25">
      <c r="A17" s="3">
        <v>648927</v>
      </c>
      <c r="B17" s="1">
        <v>294.5</v>
      </c>
      <c r="C17" s="4">
        <v>5.52157E-2</v>
      </c>
      <c r="D17" s="10">
        <f t="shared" si="3"/>
        <v>5.2920369981418011E-2</v>
      </c>
      <c r="E17" s="1"/>
      <c r="F17" s="3">
        <v>649150</v>
      </c>
      <c r="G17" s="1">
        <v>303.10000000000002</v>
      </c>
      <c r="H17" s="4">
        <v>4.9568599999999997E-2</v>
      </c>
      <c r="I17" s="10">
        <f t="shared" si="0"/>
        <v>4.9021961240983541E-2</v>
      </c>
      <c r="J17" s="1"/>
      <c r="K17" s="3">
        <v>649653</v>
      </c>
      <c r="L17" s="1">
        <v>329.9</v>
      </c>
      <c r="M17" s="4">
        <v>3.6810500000000003E-2</v>
      </c>
      <c r="N17" s="10">
        <f t="shared" si="1"/>
        <v>3.7177452696326073E-2</v>
      </c>
      <c r="O17" s="1"/>
      <c r="P17" s="3">
        <v>649941</v>
      </c>
      <c r="Q17" s="1">
        <v>348.3</v>
      </c>
      <c r="R17" s="4">
        <v>2.9490200000000001E-2</v>
      </c>
      <c r="S17" s="10">
        <f t="shared" si="2"/>
        <v>3.0081871689609383E-2</v>
      </c>
    </row>
    <row r="18" spans="1:19" ht="15.75" thickBot="1" x14ac:dyDescent="0.3">
      <c r="A18" s="5">
        <v>699326</v>
      </c>
      <c r="B18" s="2">
        <v>294.5</v>
      </c>
      <c r="C18" s="6">
        <v>5.7098000000000003E-2</v>
      </c>
      <c r="D18" s="11">
        <f t="shared" si="3"/>
        <v>5.4146482059390585E-2</v>
      </c>
      <c r="E18" s="2"/>
      <c r="F18" s="5">
        <v>697033</v>
      </c>
      <c r="G18" s="2">
        <v>303.10000000000002</v>
      </c>
      <c r="H18" s="6">
        <v>5.1241799999999997E-2</v>
      </c>
      <c r="I18" s="11">
        <f t="shared" si="0"/>
        <v>5.0281777481034601E-2</v>
      </c>
      <c r="J18" s="2"/>
      <c r="K18" s="5">
        <v>700060</v>
      </c>
      <c r="L18" s="2">
        <v>329.9</v>
      </c>
      <c r="M18" s="6">
        <v>3.8483700000000003E-2</v>
      </c>
      <c r="N18" s="11">
        <f t="shared" si="1"/>
        <v>3.8618454272465567E-2</v>
      </c>
      <c r="O18" s="2"/>
      <c r="P18" s="5">
        <v>700365</v>
      </c>
      <c r="Q18" s="2">
        <v>348.3</v>
      </c>
      <c r="R18" s="6">
        <v>3.0745100000000001E-2</v>
      </c>
      <c r="S18" s="11">
        <f t="shared" si="2"/>
        <v>3.14640997330113E-2</v>
      </c>
    </row>
    <row r="19" spans="1:19" ht="15.75" thickBot="1" x14ac:dyDescent="0.3"/>
    <row r="20" spans="1:19" ht="15.75" thickBot="1" x14ac:dyDescent="0.3">
      <c r="A20" s="51" t="s">
        <v>27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3"/>
    </row>
    <row r="21" spans="1:19" x14ac:dyDescent="0.25">
      <c r="A21" s="58" t="s">
        <v>10</v>
      </c>
      <c r="B21" s="57"/>
      <c r="C21" s="57"/>
      <c r="D21" s="59"/>
      <c r="E21" s="43" t="s">
        <v>11</v>
      </c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4"/>
    </row>
    <row r="22" spans="1:19" x14ac:dyDescent="0.25">
      <c r="A22" s="58" t="s">
        <v>12</v>
      </c>
      <c r="B22" s="57"/>
      <c r="C22" s="57"/>
      <c r="D22" s="59"/>
      <c r="E22" s="43" t="s">
        <v>13</v>
      </c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4"/>
    </row>
    <row r="23" spans="1:19" x14ac:dyDescent="0.25">
      <c r="A23" s="58" t="s">
        <v>14</v>
      </c>
      <c r="B23" s="57"/>
      <c r="C23" s="57"/>
      <c r="D23" s="59"/>
      <c r="E23" s="43" t="s">
        <v>121</v>
      </c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4"/>
    </row>
    <row r="24" spans="1:19" x14ac:dyDescent="0.25">
      <c r="A24" s="58" t="s">
        <v>16</v>
      </c>
      <c r="B24" s="57"/>
      <c r="C24" s="57"/>
      <c r="D24" s="59"/>
      <c r="E24" s="43" t="s">
        <v>17</v>
      </c>
      <c r="F24" s="43"/>
      <c r="G24" s="43"/>
      <c r="H24" s="43"/>
      <c r="I24" s="57" t="s">
        <v>24</v>
      </c>
      <c r="J24" s="57"/>
      <c r="K24" s="57"/>
      <c r="L24" s="57"/>
      <c r="M24" s="57"/>
      <c r="N24" s="43">
        <v>1</v>
      </c>
      <c r="O24" s="43"/>
      <c r="P24" s="43"/>
      <c r="Q24" s="43"/>
      <c r="R24" s="43"/>
      <c r="S24" s="44"/>
    </row>
    <row r="25" spans="1:19" x14ac:dyDescent="0.25">
      <c r="A25" s="58" t="s">
        <v>18</v>
      </c>
      <c r="B25" s="57"/>
      <c r="C25" s="57"/>
      <c r="D25" s="59"/>
      <c r="E25" s="43" t="s">
        <v>19</v>
      </c>
      <c r="F25" s="43"/>
      <c r="G25" s="43"/>
      <c r="H25" s="43"/>
      <c r="I25" s="73" t="s">
        <v>25</v>
      </c>
      <c r="J25" s="73"/>
      <c r="K25" s="73"/>
      <c r="L25" s="73"/>
      <c r="M25" s="73"/>
      <c r="N25" s="43">
        <v>1</v>
      </c>
      <c r="O25" s="43"/>
      <c r="P25" s="43"/>
      <c r="Q25" s="43"/>
      <c r="R25" s="43"/>
      <c r="S25" s="44"/>
    </row>
    <row r="26" spans="1:19" ht="15.75" thickBot="1" x14ac:dyDescent="0.3">
      <c r="A26" s="63" t="s">
        <v>20</v>
      </c>
      <c r="B26" s="64"/>
      <c r="C26" s="64"/>
      <c r="D26" s="65"/>
      <c r="E26" s="35" t="s">
        <v>21</v>
      </c>
      <c r="F26" s="35"/>
      <c r="G26" s="35"/>
      <c r="H26" s="35"/>
      <c r="I26" s="64" t="s">
        <v>26</v>
      </c>
      <c r="J26" s="64"/>
      <c r="K26" s="64"/>
      <c r="L26" s="64"/>
      <c r="M26" s="64"/>
      <c r="N26" s="35">
        <v>1</v>
      </c>
      <c r="O26" s="35"/>
      <c r="P26" s="35"/>
      <c r="Q26" s="35"/>
      <c r="R26" s="35"/>
      <c r="S26" s="36"/>
    </row>
  </sheetData>
  <mergeCells count="24"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  <mergeCell ref="A21:D21"/>
    <mergeCell ref="E21:S21"/>
    <mergeCell ref="A22:D22"/>
    <mergeCell ref="E22:S22"/>
    <mergeCell ref="A23:D23"/>
    <mergeCell ref="E23:S23"/>
    <mergeCell ref="A1:S1"/>
    <mergeCell ref="A2:C2"/>
    <mergeCell ref="F2:H2"/>
    <mergeCell ref="K2:M2"/>
    <mergeCell ref="P2:R2"/>
    <mergeCell ref="A20:S2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/>
  </sheetPr>
  <dimension ref="A1:AW42"/>
  <sheetViews>
    <sheetView topLeftCell="AG1" zoomScaleNormal="100" workbookViewId="0">
      <selection activeCell="AM14" sqref="AM14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60" t="s">
        <v>35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2"/>
    </row>
    <row r="2" spans="1:49" x14ac:dyDescent="0.25">
      <c r="A2" s="55" t="s">
        <v>33</v>
      </c>
      <c r="B2" s="56"/>
      <c r="C2" s="56"/>
      <c r="D2" s="16" t="s">
        <v>34</v>
      </c>
      <c r="E2" s="1"/>
      <c r="F2" s="71" t="s">
        <v>70</v>
      </c>
      <c r="G2" s="72"/>
      <c r="H2" s="72"/>
      <c r="I2" s="7" t="s">
        <v>71</v>
      </c>
      <c r="J2" s="1"/>
      <c r="K2" s="71" t="s">
        <v>72</v>
      </c>
      <c r="L2" s="72"/>
      <c r="M2" s="72"/>
      <c r="N2" s="7" t="s">
        <v>73</v>
      </c>
      <c r="O2" s="1"/>
      <c r="P2" s="71" t="s">
        <v>74</v>
      </c>
      <c r="Q2" s="72"/>
      <c r="R2" s="72"/>
      <c r="S2" s="7" t="s">
        <v>75</v>
      </c>
      <c r="T2" s="1"/>
      <c r="U2" s="55" t="s">
        <v>76</v>
      </c>
      <c r="V2" s="56"/>
      <c r="W2" s="56"/>
      <c r="X2" s="16" t="s">
        <v>77</v>
      </c>
      <c r="Y2" s="1"/>
      <c r="Z2" s="55" t="s">
        <v>78</v>
      </c>
      <c r="AA2" s="56"/>
      <c r="AB2" s="56"/>
      <c r="AC2" s="16" t="s">
        <v>79</v>
      </c>
      <c r="AD2" s="1"/>
      <c r="AE2" s="55" t="s">
        <v>80</v>
      </c>
      <c r="AF2" s="56"/>
      <c r="AG2" s="56"/>
      <c r="AH2" s="16" t="s">
        <v>81</v>
      </c>
      <c r="AI2" s="1"/>
      <c r="AJ2" s="55" t="s">
        <v>82</v>
      </c>
      <c r="AK2" s="56"/>
      <c r="AL2" s="56"/>
      <c r="AM2" s="16" t="s">
        <v>83</v>
      </c>
      <c r="AN2" s="1"/>
      <c r="AO2" s="55" t="s">
        <v>84</v>
      </c>
      <c r="AP2" s="56"/>
      <c r="AQ2" s="56"/>
      <c r="AR2" s="16" t="s">
        <v>85</v>
      </c>
      <c r="AS2" s="1"/>
      <c r="AT2" s="55" t="s">
        <v>86</v>
      </c>
      <c r="AU2" s="56"/>
      <c r="AV2" s="56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>
        <v>5.4209100000000001</v>
      </c>
      <c r="B5" s="17">
        <f>-45+273.15</f>
        <v>228.14999999999998</v>
      </c>
      <c r="C5" s="4">
        <v>5.0694510460000008E-2</v>
      </c>
      <c r="D5" s="10">
        <f>ws_direct_ads_w_pT(A5,B5,$E$37,$E$38,$E$39,$E$40,$N$40,$E$41,$N$41,$E$42,$N$42)</f>
        <v>5.1083218584712341E-2</v>
      </c>
      <c r="E5" s="1"/>
      <c r="F5" s="12">
        <v>2.6875900000000001</v>
      </c>
      <c r="G5" s="18">
        <f>-25+273.15</f>
        <v>248.14999999999998</v>
      </c>
      <c r="H5" s="13">
        <v>1.9629874241999998E-2</v>
      </c>
      <c r="I5" s="14">
        <f t="shared" ref="I5:I15" si="0">ws_direct_ads_w_pT(F5,G5,$E$37,$E$38,$E$39,$E$40,$N$40,$E$41,$N$41,$E$42,$N$42)</f>
        <v>1.8593899596436082E-2</v>
      </c>
      <c r="J5" s="1"/>
      <c r="K5" s="12">
        <v>5.25075</v>
      </c>
      <c r="L5" s="19">
        <f>0+273.15</f>
        <v>273.14999999999998</v>
      </c>
      <c r="M5" s="13">
        <v>1.0714742016000001E-2</v>
      </c>
      <c r="N5" s="14">
        <f t="shared" ref="N5:N19" si="1">ws_direct_ads_w_pT(K5,L5,$E$37,$E$38,$E$39,$E$40,$N$40,$E$41,$N$41,$E$42,$N$42)</f>
        <v>1.0234933590923447E-2</v>
      </c>
      <c r="O5" s="1"/>
      <c r="P5" s="12">
        <v>5.4209100000000001</v>
      </c>
      <c r="Q5" s="19">
        <f>25+273.15</f>
        <v>298.14999999999998</v>
      </c>
      <c r="R5" s="13">
        <v>4.4407979220000005E-3</v>
      </c>
      <c r="S5" s="14">
        <f>ws_direct_ads_w_pT(P5,Q5,$E$37,$E$38,$E$39,$E$40,$N$40,$E$41,$N$41,$E$42,$N$42)</f>
        <v>4.1116782409228959E-3</v>
      </c>
      <c r="T5" s="1"/>
      <c r="U5" s="12">
        <v>34.4664</v>
      </c>
      <c r="V5" s="18">
        <f>50+273.15</f>
        <v>323.14999999999998</v>
      </c>
      <c r="W5" s="13">
        <v>6.1482926889999999E-3</v>
      </c>
      <c r="X5" s="14">
        <f>ws_direct_ads_w_pT(U5,V5,$E$37,$E$38,$E$39,$E$40,$N$40,$E$41,$N$41,$E$42,$N$42)</f>
        <v>5.7080414042918201E-3</v>
      </c>
      <c r="Y5" s="1"/>
      <c r="Z5" s="12">
        <v>135.82</v>
      </c>
      <c r="AA5" s="18">
        <f>75+273.15</f>
        <v>348.15</v>
      </c>
      <c r="AB5" s="13">
        <v>6.1356615320000002E-3</v>
      </c>
      <c r="AC5" s="14">
        <f>ws_direct_ads_w_pT(Z5,AA5,$E$37,$E$38,$E$39,$E$40,$N$40,$E$41,$N$41,$E$42,$N$42)</f>
        <v>6.5814302848777326E-3</v>
      </c>
      <c r="AD5" s="1"/>
      <c r="AE5" s="12">
        <v>342.47300000000001</v>
      </c>
      <c r="AF5" s="18">
        <f>100+273.15</f>
        <v>373.15</v>
      </c>
      <c r="AG5" s="13">
        <v>5.6202927220000013E-3</v>
      </c>
      <c r="AH5" s="14">
        <f>ws_direct_ads_w_pT(AE5,AF5,$E$37,$E$38,$E$39,$E$40,$N$40,$E$41,$N$41,$E$42,$N$42)</f>
        <v>6.3011421545253526E-3</v>
      </c>
      <c r="AI5" s="1"/>
      <c r="AJ5" s="12">
        <v>648.08900000000006</v>
      </c>
      <c r="AK5" s="18">
        <f>125+273.15</f>
        <v>398.15</v>
      </c>
      <c r="AL5" s="13">
        <v>5.2401697150000004E-3</v>
      </c>
      <c r="AM5" s="14">
        <f>ws_direct_ads_w_pT(AJ5,AK5,$E$37,$E$38,$E$39,$E$40,$N$40,$E$41,$N$41,$E$42,$N$42)</f>
        <v>5.4145155604263103E-3</v>
      </c>
      <c r="AN5" s="1"/>
      <c r="AO5" s="12">
        <v>981.04700000000003</v>
      </c>
      <c r="AP5" s="18">
        <f>150+273.15</f>
        <v>423.15</v>
      </c>
      <c r="AQ5" s="13">
        <v>4.4830484819999997E-3</v>
      </c>
      <c r="AR5" s="14">
        <f>ws_direct_ads_w_pT(AO5,AP5,$E$37,$E$38,$E$39,$E$40,$N$40,$E$41,$N$41,$E$42,$N$42)</f>
        <v>4.2636731675642714E-3</v>
      </c>
      <c r="AS5" s="1"/>
      <c r="AT5" s="12">
        <v>2636.65</v>
      </c>
      <c r="AU5" s="18">
        <f>175+273.15</f>
        <v>448.15</v>
      </c>
      <c r="AV5" s="13">
        <v>5.4129128900000005E-3</v>
      </c>
      <c r="AW5" s="14">
        <f>ws_direct_ads_w_pT(AT5,AU5,$E$37,$E$38,$E$39,$E$40,$N$40,$E$41,$N$41,$E$42,$N$42)</f>
        <v>5.1992493327742825E-3</v>
      </c>
    </row>
    <row r="6" spans="1:49" x14ac:dyDescent="0.25">
      <c r="A6">
        <v>9.3224300000000007</v>
      </c>
      <c r="B6" s="17">
        <f t="shared" ref="B6:B11" si="2">-45+273.15</f>
        <v>228.14999999999998</v>
      </c>
      <c r="C6" s="4">
        <v>6.4506922700000011E-2</v>
      </c>
      <c r="D6" s="10">
        <f t="shared" ref="D6:D11" si="3">ws_direct_ads_w_pT(A6,B6,$E$37,$E$38,$E$39,$E$40,$N$40,$E$41,$N$41,$E$42,$N$42)</f>
        <v>6.2034743849177926E-2</v>
      </c>
      <c r="E6" s="1"/>
      <c r="F6" s="3">
        <v>3.9406500000000002</v>
      </c>
      <c r="G6" s="19">
        <f t="shared" ref="G6:G15" si="4">-25+273.15</f>
        <v>248.14999999999998</v>
      </c>
      <c r="H6" s="4">
        <v>2.4556597615000005E-2</v>
      </c>
      <c r="I6" s="10">
        <f t="shared" si="0"/>
        <v>2.2340289762192839E-2</v>
      </c>
      <c r="J6" s="1"/>
      <c r="K6" s="3">
        <v>7.9483499999999996</v>
      </c>
      <c r="L6" s="19">
        <f t="shared" ref="L6:L19" si="5">0+273.15</f>
        <v>273.14999999999998</v>
      </c>
      <c r="M6" s="4">
        <v>1.2726572848E-2</v>
      </c>
      <c r="N6" s="10">
        <f t="shared" si="1"/>
        <v>1.284026147081868E-2</v>
      </c>
      <c r="O6" s="1"/>
      <c r="P6" s="3">
        <v>9.3224300000000007</v>
      </c>
      <c r="Q6" s="19">
        <f t="shared" ref="Q6:Q34" si="6">25+273.15</f>
        <v>298.14999999999998</v>
      </c>
      <c r="R6" s="4">
        <v>6.1603517029999999E-3</v>
      </c>
      <c r="S6" s="10">
        <f t="shared" ref="S6:S34" si="7">ws_direct_ads_w_pT(P6,Q6,$E$37,$E$38,$E$39,$E$40,$N$40,$E$41,$N$41,$E$42,$N$42)</f>
        <v>5.780562013880392E-3</v>
      </c>
      <c r="T6" s="1"/>
      <c r="U6" s="3">
        <v>108.645</v>
      </c>
      <c r="V6" s="19">
        <f t="shared" ref="V6:V20" si="8">50+273.15</f>
        <v>323.14999999999998</v>
      </c>
      <c r="W6" s="4">
        <v>1.0483508222000001E-2</v>
      </c>
      <c r="X6" s="10">
        <f t="shared" ref="X6:X20" si="9">ws_direct_ads_w_pT(U6,V6,$E$37,$E$38,$E$39,$E$40,$N$40,$E$41,$N$41,$E$42,$N$42)</f>
        <v>1.1331635607624646E-2</v>
      </c>
      <c r="Y6" s="1"/>
      <c r="Z6" s="3">
        <v>321.31099999999998</v>
      </c>
      <c r="AA6" s="19">
        <f t="shared" ref="AA6:AA20" si="10">75+273.15</f>
        <v>348.15</v>
      </c>
      <c r="AB6" s="4">
        <v>9.9380358880000012E-3</v>
      </c>
      <c r="AC6" s="10">
        <f t="shared" ref="AC6:AC20" si="11">ws_direct_ads_w_pT(Z6,AA6,$E$37,$E$38,$E$39,$E$40,$N$40,$E$41,$N$41,$E$42,$N$42)</f>
        <v>1.1037525063805073E-2</v>
      </c>
      <c r="AD6" s="1"/>
      <c r="AE6" s="3">
        <v>736.26800000000003</v>
      </c>
      <c r="AF6" s="19">
        <f t="shared" ref="AF6:AF20" si="12">100+273.15</f>
        <v>373.15</v>
      </c>
      <c r="AG6" s="4">
        <v>9.1045995810000013E-3</v>
      </c>
      <c r="AH6" s="10">
        <f t="shared" ref="AH6:AH20" si="13">ws_direct_ads_w_pT(AE6,AF6,$E$37,$E$38,$E$39,$E$40,$N$40,$E$41,$N$41,$E$42,$N$42)</f>
        <v>1.0072408254163504E-2</v>
      </c>
      <c r="AI6" s="1"/>
      <c r="AJ6" s="3">
        <v>1307.2</v>
      </c>
      <c r="AK6" s="19">
        <f t="shared" ref="AK6:AK20" si="14">125+273.15</f>
        <v>398.15</v>
      </c>
      <c r="AL6" s="4">
        <v>7.9229482420000007E-3</v>
      </c>
      <c r="AM6" s="10">
        <f t="shared" ref="AM6:AM20" si="15">ws_direct_ads_w_pT(AJ6,AK6,$E$37,$E$38,$E$39,$E$40,$N$40,$E$41,$N$41,$E$42,$N$42)</f>
        <v>8.4365758276759781E-3</v>
      </c>
      <c r="AN6" s="1"/>
      <c r="AO6" s="3">
        <v>2042.91</v>
      </c>
      <c r="AP6" s="19">
        <f t="shared" ref="AP6:AP19" si="16">150+273.15</f>
        <v>423.15</v>
      </c>
      <c r="AQ6" s="4">
        <v>6.7779140550000014E-3</v>
      </c>
      <c r="AR6" s="10">
        <f t="shared" ref="AR6:AR19" si="17">ws_direct_ads_w_pT(AO6,AP6,$E$37,$E$38,$E$39,$E$40,$N$40,$E$41,$N$41,$E$42,$N$42)</f>
        <v>6.8905354794832618E-3</v>
      </c>
      <c r="AS6" s="1"/>
      <c r="AT6" s="3">
        <v>3513.23</v>
      </c>
      <c r="AU6" s="19">
        <f t="shared" ref="AU6:AU18" si="18">175+273.15</f>
        <v>448.15</v>
      </c>
      <c r="AV6" s="4">
        <v>6.2121526500000003E-3</v>
      </c>
      <c r="AW6" s="10">
        <f t="shared" ref="AW6:AW18" si="19">ws_direct_ads_w_pT(AT6,AU6,$E$37,$E$38,$E$39,$E$40,$N$40,$E$41,$N$41,$E$42,$N$42)</f>
        <v>6.2745975196459094E-3</v>
      </c>
    </row>
    <row r="7" spans="1:49" x14ac:dyDescent="0.25">
      <c r="A7">
        <v>25.0549</v>
      </c>
      <c r="B7" s="17">
        <f t="shared" si="2"/>
        <v>228.14999999999998</v>
      </c>
      <c r="C7" s="4">
        <v>8.3457179079999999E-2</v>
      </c>
      <c r="D7" s="10">
        <f t="shared" si="3"/>
        <v>8.5706479843900715E-2</v>
      </c>
      <c r="E7" s="1"/>
      <c r="F7" s="3">
        <v>6.5640900000000002</v>
      </c>
      <c r="G7" s="19">
        <f t="shared" si="4"/>
        <v>248.14999999999998</v>
      </c>
      <c r="H7" s="4">
        <v>3.1793282334E-2</v>
      </c>
      <c r="I7" s="10">
        <f t="shared" si="0"/>
        <v>2.8230381939134803E-2</v>
      </c>
      <c r="J7" s="1"/>
      <c r="K7" s="3">
        <v>10.5908</v>
      </c>
      <c r="L7" s="19">
        <f t="shared" si="5"/>
        <v>273.14999999999998</v>
      </c>
      <c r="M7" s="4">
        <v>1.5650355611000002E-2</v>
      </c>
      <c r="N7" s="10">
        <f t="shared" si="1"/>
        <v>1.4949281603761841E-2</v>
      </c>
      <c r="O7" s="1"/>
      <c r="P7" s="3">
        <v>14.5692</v>
      </c>
      <c r="Q7" s="19">
        <f t="shared" si="6"/>
        <v>298.14999999999998</v>
      </c>
      <c r="R7" s="4">
        <v>7.5738529899999994E-3</v>
      </c>
      <c r="S7" s="10">
        <f t="shared" si="7"/>
        <v>7.5721516523668403E-3</v>
      </c>
      <c r="T7" s="1"/>
      <c r="U7" s="3">
        <v>164.46199999999999</v>
      </c>
      <c r="V7" s="19">
        <f t="shared" si="8"/>
        <v>323.14999999999998</v>
      </c>
      <c r="W7" s="4">
        <v>1.2668830416000001E-2</v>
      </c>
      <c r="X7" s="10">
        <f t="shared" si="9"/>
        <v>1.4279576794336016E-2</v>
      </c>
      <c r="Y7" s="1"/>
      <c r="Z7" s="3">
        <v>471.11900000000003</v>
      </c>
      <c r="AA7" s="19">
        <f t="shared" si="10"/>
        <v>348.15</v>
      </c>
      <c r="AB7" s="4">
        <v>1.1804586409000001E-2</v>
      </c>
      <c r="AC7" s="10">
        <f t="shared" si="11"/>
        <v>1.3719862586326992E-2</v>
      </c>
      <c r="AD7" s="1"/>
      <c r="AE7" s="3">
        <v>1045.6600000000001</v>
      </c>
      <c r="AF7" s="19">
        <f t="shared" si="12"/>
        <v>373.15</v>
      </c>
      <c r="AG7" s="4">
        <v>1.1003542198000002E-2</v>
      </c>
      <c r="AH7" s="10">
        <f t="shared" si="13"/>
        <v>1.2362058065667243E-2</v>
      </c>
      <c r="AI7" s="1"/>
      <c r="AJ7" s="3">
        <v>1798.24</v>
      </c>
      <c r="AK7" s="19">
        <f t="shared" si="14"/>
        <v>398.15</v>
      </c>
      <c r="AL7" s="4">
        <v>9.2508041230000004E-3</v>
      </c>
      <c r="AM7" s="10">
        <f t="shared" si="15"/>
        <v>1.0234385895331021E-2</v>
      </c>
      <c r="AN7" s="1"/>
      <c r="AO7" s="3">
        <v>2553.89</v>
      </c>
      <c r="AP7" s="19">
        <f t="shared" si="16"/>
        <v>423.15</v>
      </c>
      <c r="AQ7" s="4">
        <v>8.052868714000001E-3</v>
      </c>
      <c r="AR7" s="10">
        <f t="shared" si="17"/>
        <v>7.9311231653660039E-3</v>
      </c>
      <c r="AS7" s="1"/>
      <c r="AT7" s="3">
        <v>4254.1099999999997</v>
      </c>
      <c r="AU7" s="19">
        <f t="shared" si="18"/>
        <v>448.15</v>
      </c>
      <c r="AV7" s="4">
        <v>6.6545512219999998E-3</v>
      </c>
      <c r="AW7" s="10">
        <f t="shared" si="19"/>
        <v>7.0957094386428429E-3</v>
      </c>
    </row>
    <row r="8" spans="1:49" x14ac:dyDescent="0.25">
      <c r="A8">
        <v>63.176299999999998</v>
      </c>
      <c r="B8" s="17">
        <f t="shared" si="2"/>
        <v>228.14999999999998</v>
      </c>
      <c r="C8" s="4">
        <v>0.10613560727000003</v>
      </c>
      <c r="D8" s="10">
        <f t="shared" si="3"/>
        <v>0.11205053954791809</v>
      </c>
      <c r="E8" s="1"/>
      <c r="F8" s="3">
        <v>13.2399</v>
      </c>
      <c r="G8" s="19">
        <f t="shared" si="4"/>
        <v>248.14999999999998</v>
      </c>
      <c r="H8" s="4">
        <v>4.1150813132000003E-2</v>
      </c>
      <c r="I8" s="10">
        <f t="shared" si="0"/>
        <v>3.8179676402395266E-2</v>
      </c>
      <c r="J8" s="1"/>
      <c r="K8" s="3">
        <v>17.6416</v>
      </c>
      <c r="L8" s="19">
        <f t="shared" si="5"/>
        <v>273.14999999999998</v>
      </c>
      <c r="M8" s="4">
        <v>2.0262444345000002E-2</v>
      </c>
      <c r="N8" s="10">
        <f t="shared" si="1"/>
        <v>1.9395567207609776E-2</v>
      </c>
      <c r="O8" s="1"/>
      <c r="P8" s="3">
        <v>30.3385</v>
      </c>
      <c r="Q8" s="19">
        <f t="shared" si="6"/>
        <v>298.14999999999998</v>
      </c>
      <c r="R8" s="4">
        <v>1.0686574976E-2</v>
      </c>
      <c r="S8" s="10">
        <f t="shared" si="7"/>
        <v>1.1550959215773931E-2</v>
      </c>
      <c r="T8" s="1"/>
      <c r="U8" s="3">
        <v>199.14500000000001</v>
      </c>
      <c r="V8" s="19">
        <f t="shared" si="8"/>
        <v>323.14999999999998</v>
      </c>
      <c r="W8" s="4">
        <v>1.5052642220000001E-2</v>
      </c>
      <c r="X8" s="10">
        <f t="shared" si="9"/>
        <v>1.5840509962254112E-2</v>
      </c>
      <c r="Y8" s="1"/>
      <c r="Z8" s="3">
        <v>608.04200000000003</v>
      </c>
      <c r="AA8" s="19">
        <f t="shared" si="10"/>
        <v>348.15</v>
      </c>
      <c r="AB8" s="4">
        <v>1.4024413227000002E-2</v>
      </c>
      <c r="AC8" s="10">
        <f t="shared" si="11"/>
        <v>1.5793764535985102E-2</v>
      </c>
      <c r="AD8" s="1"/>
      <c r="AE8" s="3">
        <v>1393.3</v>
      </c>
      <c r="AF8" s="19">
        <f t="shared" si="12"/>
        <v>373.15</v>
      </c>
      <c r="AG8" s="4">
        <v>1.2848263263000002E-2</v>
      </c>
      <c r="AH8" s="10">
        <f t="shared" si="13"/>
        <v>1.4547017153646688E-2</v>
      </c>
      <c r="AI8" s="1"/>
      <c r="AJ8" s="3">
        <v>2396.08</v>
      </c>
      <c r="AK8" s="19">
        <f t="shared" si="14"/>
        <v>398.15</v>
      </c>
      <c r="AL8" s="4">
        <v>1.04350081E-2</v>
      </c>
      <c r="AM8" s="10">
        <f t="shared" si="15"/>
        <v>1.2121944933388244E-2</v>
      </c>
      <c r="AN8" s="1"/>
      <c r="AO8" s="3">
        <v>3296.14</v>
      </c>
      <c r="AP8" s="19">
        <f t="shared" si="16"/>
        <v>423.15</v>
      </c>
      <c r="AQ8" s="4">
        <v>8.9285995920000017E-3</v>
      </c>
      <c r="AR8" s="10">
        <f t="shared" si="17"/>
        <v>9.2844746000920308E-3</v>
      </c>
      <c r="AS8" s="1"/>
      <c r="AT8" s="3">
        <v>6041.76</v>
      </c>
      <c r="AU8" s="19">
        <f t="shared" si="18"/>
        <v>448.15</v>
      </c>
      <c r="AV8" s="4">
        <v>8.0424821180000005E-3</v>
      </c>
      <c r="AW8" s="10">
        <f t="shared" si="19"/>
        <v>8.8462230263386052E-3</v>
      </c>
    </row>
    <row r="9" spans="1:49" x14ac:dyDescent="0.25">
      <c r="A9">
        <v>127.42700000000001</v>
      </c>
      <c r="B9" s="17">
        <f t="shared" si="2"/>
        <v>228.14999999999998</v>
      </c>
      <c r="C9" s="4">
        <v>0.13270988918000001</v>
      </c>
      <c r="D9" s="10">
        <f t="shared" si="3"/>
        <v>0.13449590243319673</v>
      </c>
      <c r="E9" s="1"/>
      <c r="F9" s="3">
        <v>24.2684</v>
      </c>
      <c r="G9" s="19">
        <f t="shared" si="4"/>
        <v>248.14999999999998</v>
      </c>
      <c r="H9" s="4">
        <v>5.0580521970000007E-2</v>
      </c>
      <c r="I9" s="10">
        <f t="shared" si="0"/>
        <v>4.8658783236363017E-2</v>
      </c>
      <c r="J9" s="1"/>
      <c r="K9" s="3">
        <v>25.866800000000001</v>
      </c>
      <c r="L9" s="19">
        <f t="shared" si="5"/>
        <v>273.14999999999998</v>
      </c>
      <c r="M9" s="4">
        <v>2.4913922924E-2</v>
      </c>
      <c r="N9" s="10">
        <f t="shared" si="1"/>
        <v>2.3381095629387057E-2</v>
      </c>
      <c r="O9" s="1"/>
      <c r="P9" s="3">
        <v>39.155999999999999</v>
      </c>
      <c r="Q9" s="19">
        <f t="shared" si="6"/>
        <v>298.14999999999998</v>
      </c>
      <c r="R9" s="4">
        <v>1.2696161247000001E-2</v>
      </c>
      <c r="S9" s="10">
        <f t="shared" si="7"/>
        <v>1.3294766369565088E-2</v>
      </c>
      <c r="T9" s="1"/>
      <c r="U9" s="3">
        <v>331.72300000000001</v>
      </c>
      <c r="V9" s="19">
        <f t="shared" si="8"/>
        <v>323.14999999999998</v>
      </c>
      <c r="W9" s="4">
        <v>1.9154907530000001E-2</v>
      </c>
      <c r="X9" s="10">
        <f t="shared" si="9"/>
        <v>2.0695893598024966E-2</v>
      </c>
      <c r="Y9" s="1"/>
      <c r="Z9" s="3">
        <v>950.25300000000004</v>
      </c>
      <c r="AA9" s="19">
        <f t="shared" si="10"/>
        <v>348.15</v>
      </c>
      <c r="AB9" s="4">
        <v>1.7542608556000001E-2</v>
      </c>
      <c r="AC9" s="10">
        <f t="shared" si="11"/>
        <v>2.003945925964817E-2</v>
      </c>
      <c r="AD9" s="1"/>
      <c r="AE9" s="3">
        <v>2042.91</v>
      </c>
      <c r="AF9" s="19">
        <f t="shared" si="12"/>
        <v>373.15</v>
      </c>
      <c r="AG9" s="4">
        <v>1.5527300855E-2</v>
      </c>
      <c r="AH9" s="10">
        <f t="shared" si="13"/>
        <v>1.7949324319411045E-2</v>
      </c>
      <c r="AI9" s="1"/>
      <c r="AJ9" s="3">
        <v>3513.23</v>
      </c>
      <c r="AK9" s="19">
        <f t="shared" si="14"/>
        <v>398.15</v>
      </c>
      <c r="AL9" s="4">
        <v>1.3053970677000001E-2</v>
      </c>
      <c r="AM9" s="10">
        <f t="shared" si="15"/>
        <v>1.5087212855192302E-2</v>
      </c>
      <c r="AN9" s="1"/>
      <c r="AO9" s="3">
        <v>4681.2299999999996</v>
      </c>
      <c r="AP9" s="19">
        <f t="shared" si="16"/>
        <v>423.15</v>
      </c>
      <c r="AQ9" s="4">
        <v>1.0790837035E-2</v>
      </c>
      <c r="AR9" s="10">
        <f t="shared" si="17"/>
        <v>1.1465451918396855E-2</v>
      </c>
      <c r="AS9" s="1"/>
      <c r="AT9" s="3">
        <v>8050.39</v>
      </c>
      <c r="AU9" s="19">
        <f t="shared" si="18"/>
        <v>448.15</v>
      </c>
      <c r="AV9" s="4">
        <v>9.5543920010000005E-3</v>
      </c>
      <c r="AW9" s="10">
        <f t="shared" si="19"/>
        <v>1.0543850155160255E-2</v>
      </c>
    </row>
    <row r="10" spans="1:49" x14ac:dyDescent="0.25">
      <c r="A10">
        <v>376.858</v>
      </c>
      <c r="B10" s="17">
        <f t="shared" si="2"/>
        <v>228.14999999999998</v>
      </c>
      <c r="C10" s="4">
        <v>0.16873201246000002</v>
      </c>
      <c r="D10" s="10">
        <f t="shared" si="3"/>
        <v>0.17263687623903165</v>
      </c>
      <c r="E10" s="1"/>
      <c r="F10" s="3">
        <v>50.536000000000001</v>
      </c>
      <c r="G10" s="19">
        <f t="shared" si="4"/>
        <v>248.14999999999998</v>
      </c>
      <c r="H10" s="4">
        <v>6.5464602060000002E-2</v>
      </c>
      <c r="I10" s="10">
        <f t="shared" si="0"/>
        <v>6.3842609454126786E-2</v>
      </c>
      <c r="J10" s="1"/>
      <c r="K10" s="3">
        <v>47.4133</v>
      </c>
      <c r="L10" s="19">
        <f t="shared" si="5"/>
        <v>273.14999999999998</v>
      </c>
      <c r="M10" s="4">
        <v>3.2813105225999999E-2</v>
      </c>
      <c r="N10" s="10">
        <f t="shared" si="1"/>
        <v>3.0973693225857375E-2</v>
      </c>
      <c r="O10" s="1"/>
      <c r="P10" s="3">
        <v>52.173699999999997</v>
      </c>
      <c r="Q10" s="19">
        <f t="shared" si="6"/>
        <v>298.14999999999998</v>
      </c>
      <c r="R10" s="4">
        <v>1.5345623447E-2</v>
      </c>
      <c r="S10" s="10">
        <f t="shared" si="7"/>
        <v>1.55122691311643E-2</v>
      </c>
      <c r="T10" s="1"/>
      <c r="U10" s="3">
        <v>471.11900000000003</v>
      </c>
      <c r="V10" s="19">
        <f t="shared" si="8"/>
        <v>323.14999999999998</v>
      </c>
      <c r="W10" s="4">
        <v>2.3553278848E-2</v>
      </c>
      <c r="X10" s="10">
        <f t="shared" si="9"/>
        <v>2.4677752409865073E-2</v>
      </c>
      <c r="Y10" s="1"/>
      <c r="Z10" s="3">
        <v>1393.3</v>
      </c>
      <c r="AA10" s="19">
        <f t="shared" si="10"/>
        <v>348.15</v>
      </c>
      <c r="AB10" s="4">
        <v>2.1945468996000004E-2</v>
      </c>
      <c r="AC10" s="10">
        <f t="shared" si="11"/>
        <v>2.4370426031962173E-2</v>
      </c>
      <c r="AD10" s="1"/>
      <c r="AE10" s="3">
        <v>2810.31</v>
      </c>
      <c r="AF10" s="19">
        <f t="shared" si="12"/>
        <v>373.15</v>
      </c>
      <c r="AG10" s="4">
        <v>1.9093600207000003E-2</v>
      </c>
      <c r="AH10" s="10">
        <f t="shared" si="13"/>
        <v>2.1256902353462882E-2</v>
      </c>
      <c r="AI10" s="1"/>
      <c r="AJ10" s="3">
        <v>4681.2299999999996</v>
      </c>
      <c r="AK10" s="19">
        <f t="shared" si="14"/>
        <v>398.15</v>
      </c>
      <c r="AL10" s="4">
        <v>1.5242461663000001E-2</v>
      </c>
      <c r="AM10" s="10">
        <f t="shared" si="15"/>
        <v>1.7686036493628876E-2</v>
      </c>
      <c r="AN10" s="1"/>
      <c r="AO10" s="3">
        <v>6237.55</v>
      </c>
      <c r="AP10" s="19">
        <f t="shared" si="16"/>
        <v>423.15</v>
      </c>
      <c r="AQ10" s="4">
        <v>1.2172210292000002E-2</v>
      </c>
      <c r="AR10" s="10">
        <f t="shared" si="17"/>
        <v>1.3559033748642112E-2</v>
      </c>
      <c r="AS10" s="1"/>
      <c r="AT10" s="3">
        <v>10726.8</v>
      </c>
      <c r="AU10" s="19">
        <f t="shared" si="18"/>
        <v>448.15</v>
      </c>
      <c r="AV10" s="4">
        <v>1.1749396615000001E-2</v>
      </c>
      <c r="AW10" s="10">
        <f t="shared" si="19"/>
        <v>1.2511585389337778E-2</v>
      </c>
    </row>
    <row r="11" spans="1:49" x14ac:dyDescent="0.25">
      <c r="A11">
        <v>2042.91</v>
      </c>
      <c r="B11" s="17">
        <f t="shared" si="2"/>
        <v>228.14999999999998</v>
      </c>
      <c r="C11" s="4">
        <v>0.21066657347999998</v>
      </c>
      <c r="D11" s="10">
        <f t="shared" si="3"/>
        <v>0.23751126964865266</v>
      </c>
      <c r="E11" s="1"/>
      <c r="F11" s="3">
        <v>131.55699999999999</v>
      </c>
      <c r="G11" s="19">
        <f t="shared" si="4"/>
        <v>248.14999999999998</v>
      </c>
      <c r="H11" s="4">
        <v>8.1824370980000005E-2</v>
      </c>
      <c r="I11" s="10">
        <f t="shared" si="0"/>
        <v>8.7866980956880891E-2</v>
      </c>
      <c r="J11" s="1"/>
      <c r="K11" s="3">
        <v>89.724000000000004</v>
      </c>
      <c r="L11" s="19">
        <f t="shared" si="5"/>
        <v>273.14999999999998</v>
      </c>
      <c r="M11" s="4">
        <v>4.1747646303000006E-2</v>
      </c>
      <c r="N11" s="10">
        <f t="shared" si="1"/>
        <v>4.0848072381981897E-2</v>
      </c>
      <c r="O11" s="1"/>
      <c r="P11" s="3">
        <v>65.223500000000001</v>
      </c>
      <c r="Q11" s="19">
        <f t="shared" si="6"/>
        <v>298.14999999999998</v>
      </c>
      <c r="R11" s="4">
        <v>1.6723959945000002E-2</v>
      </c>
      <c r="S11" s="10">
        <f t="shared" si="7"/>
        <v>1.743945122215057E-2</v>
      </c>
      <c r="T11" s="1"/>
      <c r="U11" s="3">
        <v>836.44600000000003</v>
      </c>
      <c r="V11" s="19">
        <f t="shared" si="8"/>
        <v>323.14999999999998</v>
      </c>
      <c r="W11" s="4">
        <v>3.0491436954000004E-2</v>
      </c>
      <c r="X11" s="10">
        <f t="shared" si="9"/>
        <v>3.2461419900711962E-2</v>
      </c>
      <c r="Y11" s="1"/>
      <c r="Z11" s="3">
        <v>2109.11</v>
      </c>
      <c r="AA11" s="19">
        <f t="shared" si="10"/>
        <v>348.15</v>
      </c>
      <c r="AB11" s="4">
        <v>2.793026082E-2</v>
      </c>
      <c r="AC11" s="10">
        <f t="shared" si="11"/>
        <v>2.9861322487266861E-2</v>
      </c>
      <c r="AD11" s="1"/>
      <c r="AE11" s="3">
        <v>4120.58</v>
      </c>
      <c r="AF11" s="19">
        <f t="shared" si="12"/>
        <v>373.15</v>
      </c>
      <c r="AG11" s="4">
        <v>2.3476787729999997E-2</v>
      </c>
      <c r="AH11" s="10">
        <f t="shared" si="13"/>
        <v>2.5851974646471546E-2</v>
      </c>
      <c r="AI11" s="1"/>
      <c r="AJ11" s="3">
        <v>6439.68</v>
      </c>
      <c r="AK11" s="19">
        <f t="shared" si="14"/>
        <v>398.15</v>
      </c>
      <c r="AL11" s="4">
        <v>1.9069878278E-2</v>
      </c>
      <c r="AM11" s="10">
        <f t="shared" si="15"/>
        <v>2.0991125699431228E-2</v>
      </c>
      <c r="AN11" s="1"/>
      <c r="AO11" s="3">
        <v>8858.67</v>
      </c>
      <c r="AP11" s="19">
        <f t="shared" si="16"/>
        <v>423.15</v>
      </c>
      <c r="AQ11" s="4">
        <v>1.5227894022E-2</v>
      </c>
      <c r="AR11" s="10">
        <f t="shared" si="17"/>
        <v>1.6542804475980225E-2</v>
      </c>
      <c r="AS11" s="1"/>
      <c r="AT11" s="3">
        <v>14293</v>
      </c>
      <c r="AU11" s="19">
        <f t="shared" si="18"/>
        <v>448.15</v>
      </c>
      <c r="AV11" s="4">
        <v>1.3719196942E-2</v>
      </c>
      <c r="AW11" s="10">
        <f t="shared" si="19"/>
        <v>1.4779958268232982E-2</v>
      </c>
    </row>
    <row r="12" spans="1:49" x14ac:dyDescent="0.25">
      <c r="A12" s="3"/>
      <c r="B12" s="1"/>
      <c r="C12" s="4"/>
      <c r="D12" s="10"/>
      <c r="E12" s="1"/>
      <c r="F12" s="3">
        <v>291.99400000000003</v>
      </c>
      <c r="G12" s="19">
        <f t="shared" si="4"/>
        <v>248.14999999999998</v>
      </c>
      <c r="H12" s="4">
        <v>0.10407897324000001</v>
      </c>
      <c r="I12" s="10">
        <f t="shared" si="0"/>
        <v>0.11142976357311479</v>
      </c>
      <c r="J12" s="1"/>
      <c r="K12" s="3">
        <v>159.30000000000001</v>
      </c>
      <c r="L12" s="19">
        <f t="shared" si="5"/>
        <v>273.14999999999998</v>
      </c>
      <c r="M12" s="4">
        <v>5.1316385890000003E-2</v>
      </c>
      <c r="N12" s="10">
        <f t="shared" si="1"/>
        <v>5.1534690167572068E-2</v>
      </c>
      <c r="O12" s="1"/>
      <c r="P12" s="3">
        <v>95.633399999999995</v>
      </c>
      <c r="Q12" s="19">
        <f t="shared" si="6"/>
        <v>298.14999999999998</v>
      </c>
      <c r="R12" s="4">
        <v>1.9865069026E-2</v>
      </c>
      <c r="S12" s="10">
        <f t="shared" si="7"/>
        <v>2.1191765869249743E-2</v>
      </c>
      <c r="T12" s="1"/>
      <c r="U12" s="3">
        <v>1393.3</v>
      </c>
      <c r="V12" s="19">
        <f t="shared" si="8"/>
        <v>323.14999999999998</v>
      </c>
      <c r="W12" s="4">
        <v>3.8801197874999999E-2</v>
      </c>
      <c r="X12" s="10">
        <f t="shared" si="9"/>
        <v>4.0830757048538294E-2</v>
      </c>
      <c r="Y12" s="1"/>
      <c r="Z12" s="3">
        <v>3402.95</v>
      </c>
      <c r="AA12" s="19">
        <f t="shared" si="10"/>
        <v>348.15</v>
      </c>
      <c r="AB12" s="4">
        <v>3.4935227624000004E-2</v>
      </c>
      <c r="AC12" s="10">
        <f t="shared" si="11"/>
        <v>3.7326337483116444E-2</v>
      </c>
      <c r="AD12" s="1"/>
      <c r="AE12" s="3">
        <v>6237.55</v>
      </c>
      <c r="AF12" s="19">
        <f t="shared" si="12"/>
        <v>373.15</v>
      </c>
      <c r="AG12" s="4">
        <v>2.9367616068999999E-2</v>
      </c>
      <c r="AH12" s="10">
        <f t="shared" si="13"/>
        <v>3.1673044595600136E-2</v>
      </c>
      <c r="AI12" s="1"/>
      <c r="AJ12" s="3">
        <v>8858.67</v>
      </c>
      <c r="AK12" s="19">
        <f t="shared" si="14"/>
        <v>398.15</v>
      </c>
      <c r="AL12" s="4">
        <v>2.3449852998000002E-2</v>
      </c>
      <c r="AM12" s="10">
        <f>ws_direct_ads_w_pT(AJ12,AK12,$E$37,$E$38,$E$39,$E$40,$N$40,$E$41,$N$41,$E$42,$N$42)</f>
        <v>2.4775530305538935E-2</v>
      </c>
      <c r="AN12" s="1"/>
      <c r="AO12" s="3">
        <v>12186.3</v>
      </c>
      <c r="AP12" s="19">
        <f t="shared" si="16"/>
        <v>423.15</v>
      </c>
      <c r="AQ12" s="4">
        <v>1.8404872068000004E-2</v>
      </c>
      <c r="AR12" s="10">
        <f t="shared" si="17"/>
        <v>1.9705595121503491E-2</v>
      </c>
      <c r="AS12" s="1"/>
      <c r="AT12" s="3">
        <v>17868.099999999999</v>
      </c>
      <c r="AU12" s="19">
        <f t="shared" si="18"/>
        <v>448.15</v>
      </c>
      <c r="AV12" s="4">
        <v>1.6020752186999998E-2</v>
      </c>
      <c r="AW12" s="10">
        <f t="shared" si="19"/>
        <v>1.6772290503291199E-2</v>
      </c>
    </row>
    <row r="13" spans="1:49" x14ac:dyDescent="0.25">
      <c r="A13" s="3"/>
      <c r="B13" s="1"/>
      <c r="C13" s="4"/>
      <c r="D13" s="10"/>
      <c r="E13" s="1"/>
      <c r="F13" s="3">
        <v>608.04200000000003</v>
      </c>
      <c r="G13" s="19">
        <f t="shared" si="4"/>
        <v>248.14999999999998</v>
      </c>
      <c r="H13" s="4">
        <v>0.13013216490999999</v>
      </c>
      <c r="I13" s="10">
        <f t="shared" si="0"/>
        <v>0.13569264619239244</v>
      </c>
      <c r="J13" s="1"/>
      <c r="K13" s="3">
        <v>321.31099999999998</v>
      </c>
      <c r="L13" s="19">
        <f t="shared" si="5"/>
        <v>273.14999999999998</v>
      </c>
      <c r="M13" s="4">
        <v>6.5283276740000007E-2</v>
      </c>
      <c r="N13" s="10">
        <f t="shared" si="1"/>
        <v>6.7045957475713555E-2</v>
      </c>
      <c r="O13" s="1"/>
      <c r="P13" s="3">
        <v>135.82</v>
      </c>
      <c r="Q13" s="19">
        <f t="shared" si="6"/>
        <v>298.14999999999998</v>
      </c>
      <c r="R13" s="4">
        <v>2.4426545110000003E-2</v>
      </c>
      <c r="S13" s="10">
        <f t="shared" si="7"/>
        <v>2.5171849534282718E-2</v>
      </c>
      <c r="T13" s="1"/>
      <c r="U13" s="3">
        <v>2109.11</v>
      </c>
      <c r="V13" s="19">
        <f t="shared" si="8"/>
        <v>323.14999999999998</v>
      </c>
      <c r="W13" s="4">
        <v>4.6889319399999997E-2</v>
      </c>
      <c r="X13" s="10">
        <f t="shared" si="9"/>
        <v>4.8715326784217E-2</v>
      </c>
      <c r="Y13" s="1"/>
      <c r="Z13" s="3">
        <v>4832.93</v>
      </c>
      <c r="AA13" s="19">
        <f t="shared" si="10"/>
        <v>348.15</v>
      </c>
      <c r="AB13" s="4">
        <v>4.0788250514000007E-2</v>
      </c>
      <c r="AC13" s="10">
        <f t="shared" si="11"/>
        <v>4.3626618542068743E-2</v>
      </c>
      <c r="AD13" s="1"/>
      <c r="AE13" s="3">
        <v>8050.39</v>
      </c>
      <c r="AF13" s="19">
        <f t="shared" si="12"/>
        <v>373.15</v>
      </c>
      <c r="AG13" s="4">
        <v>3.4890116349000001E-2</v>
      </c>
      <c r="AH13" s="10">
        <f t="shared" si="13"/>
        <v>3.5724024526010367E-2</v>
      </c>
      <c r="AI13" s="1"/>
      <c r="AJ13" s="3">
        <v>11803.8</v>
      </c>
      <c r="AK13" s="19">
        <f t="shared" si="14"/>
        <v>398.15</v>
      </c>
      <c r="AL13" s="4">
        <v>2.7381267606000001E-2</v>
      </c>
      <c r="AM13" s="10">
        <f>ws_direct_ads_w_pT(AJ13,AK13,$E$37,$E$38,$E$39,$E$40,$N$40,$E$41,$N$41,$E$42,$N$42)</f>
        <v>2.8624520557548664E-2</v>
      </c>
      <c r="AN13" s="1"/>
      <c r="AO13" s="3">
        <v>15234.4</v>
      </c>
      <c r="AP13" s="19">
        <f t="shared" si="16"/>
        <v>423.15</v>
      </c>
      <c r="AQ13" s="4">
        <v>2.1866909361000001E-2</v>
      </c>
      <c r="AR13" s="10">
        <f t="shared" si="17"/>
        <v>2.2198499460000687E-2</v>
      </c>
      <c r="AS13" s="1"/>
      <c r="AT13" s="3">
        <v>23808.5</v>
      </c>
      <c r="AU13" s="19">
        <f t="shared" si="18"/>
        <v>448.15</v>
      </c>
      <c r="AV13" s="4">
        <v>1.9032512939000001E-2</v>
      </c>
      <c r="AW13" s="10">
        <f t="shared" si="19"/>
        <v>1.96532719836684E-2</v>
      </c>
    </row>
    <row r="14" spans="1:49" x14ac:dyDescent="0.25">
      <c r="A14" s="3"/>
      <c r="B14" s="1"/>
      <c r="C14" s="4"/>
      <c r="D14" s="10"/>
      <c r="E14" s="1"/>
      <c r="F14" s="3">
        <v>1687.12</v>
      </c>
      <c r="G14" s="19">
        <f t="shared" si="4"/>
        <v>248.14999999999998</v>
      </c>
      <c r="H14" s="4">
        <v>0.16547035725000001</v>
      </c>
      <c r="I14" s="10">
        <f t="shared" si="0"/>
        <v>0.17287586868353447</v>
      </c>
      <c r="J14" s="1"/>
      <c r="K14" s="3">
        <v>648.08900000000006</v>
      </c>
      <c r="L14" s="19">
        <f t="shared" si="5"/>
        <v>273.14999999999998</v>
      </c>
      <c r="M14" s="4">
        <v>8.3050957550000012E-2</v>
      </c>
      <c r="N14" s="10">
        <f t="shared" si="1"/>
        <v>8.5304962752219327E-2</v>
      </c>
      <c r="O14" s="1"/>
      <c r="P14" s="3">
        <v>149.45699999999999</v>
      </c>
      <c r="Q14" s="19">
        <f t="shared" si="6"/>
        <v>298.14999999999998</v>
      </c>
      <c r="R14" s="4">
        <v>2.4423024230000003E-2</v>
      </c>
      <c r="S14" s="10">
        <f t="shared" si="7"/>
        <v>2.635309394336556E-2</v>
      </c>
      <c r="T14" s="1"/>
      <c r="U14" s="3">
        <v>3192.68</v>
      </c>
      <c r="V14" s="19">
        <f t="shared" si="8"/>
        <v>323.14999999999998</v>
      </c>
      <c r="W14" s="4">
        <v>5.765088912E-2</v>
      </c>
      <c r="X14" s="10">
        <f t="shared" si="9"/>
        <v>5.7620122054303863E-2</v>
      </c>
      <c r="Y14" s="1"/>
      <c r="Z14" s="3">
        <v>7086.23</v>
      </c>
      <c r="AA14" s="19">
        <f t="shared" si="10"/>
        <v>348.15</v>
      </c>
      <c r="AB14" s="4">
        <v>5.0151854829999995E-2</v>
      </c>
      <c r="AC14" s="10">
        <f t="shared" si="11"/>
        <v>5.1340815836524091E-2</v>
      </c>
      <c r="AD14" s="1"/>
      <c r="AE14" s="3">
        <v>11433.3</v>
      </c>
      <c r="AF14" s="19">
        <f t="shared" si="12"/>
        <v>373.15</v>
      </c>
      <c r="AG14" s="4">
        <v>4.1445158699999998E-2</v>
      </c>
      <c r="AH14" s="10">
        <f t="shared" si="13"/>
        <v>4.1913133485679883E-2</v>
      </c>
      <c r="AI14" s="1"/>
      <c r="AJ14" s="3">
        <v>16237.8</v>
      </c>
      <c r="AK14" s="19">
        <f t="shared" si="14"/>
        <v>398.15</v>
      </c>
      <c r="AL14" s="4">
        <v>3.2527121748000001E-2</v>
      </c>
      <c r="AM14" s="10">
        <f t="shared" si="15"/>
        <v>3.3428612504187112E-2</v>
      </c>
      <c r="AN14" s="1"/>
      <c r="AO14" s="3">
        <v>20299.2</v>
      </c>
      <c r="AP14" s="19">
        <f t="shared" si="16"/>
        <v>423.15</v>
      </c>
      <c r="AQ14" s="4">
        <v>2.5532893628E-2</v>
      </c>
      <c r="AR14" s="10">
        <f t="shared" si="17"/>
        <v>2.5767536475082512E-2</v>
      </c>
      <c r="AS14" s="1"/>
      <c r="AT14" s="3">
        <v>31723.8</v>
      </c>
      <c r="AU14" s="19">
        <f t="shared" si="18"/>
        <v>448.15</v>
      </c>
      <c r="AV14" s="4">
        <v>2.2610431194999999E-2</v>
      </c>
      <c r="AW14" s="10">
        <f t="shared" si="19"/>
        <v>2.2923331989187778E-2</v>
      </c>
    </row>
    <row r="15" spans="1:49" x14ac:dyDescent="0.25">
      <c r="A15" s="3"/>
      <c r="B15" s="1"/>
      <c r="C15" s="4"/>
      <c r="D15" s="10"/>
      <c r="E15" s="1"/>
      <c r="F15" s="3">
        <v>6439.68</v>
      </c>
      <c r="G15" s="19">
        <f t="shared" si="4"/>
        <v>248.14999999999998</v>
      </c>
      <c r="H15" s="4">
        <v>0.19968626909000001</v>
      </c>
      <c r="I15" s="10">
        <f t="shared" si="0"/>
        <v>0.22580017417478854</v>
      </c>
      <c r="J15" s="1"/>
      <c r="K15" s="3">
        <v>1393.3</v>
      </c>
      <c r="L15" s="19">
        <f t="shared" si="5"/>
        <v>273.14999999999998</v>
      </c>
      <c r="M15" s="4">
        <v>0.10564400440000001</v>
      </c>
      <c r="N15" s="10">
        <f t="shared" si="1"/>
        <v>0.10827726842352378</v>
      </c>
      <c r="O15" s="1"/>
      <c r="P15" s="3">
        <v>233.572</v>
      </c>
      <c r="Q15" s="19">
        <f t="shared" si="6"/>
        <v>298.14999999999998</v>
      </c>
      <c r="R15" s="4">
        <v>3.2174241549999996E-2</v>
      </c>
      <c r="S15" s="10">
        <f t="shared" si="7"/>
        <v>3.2442580377702208E-2</v>
      </c>
      <c r="T15" s="1"/>
      <c r="U15" s="3">
        <v>5852.12</v>
      </c>
      <c r="V15" s="19">
        <f t="shared" si="8"/>
        <v>323.14999999999998</v>
      </c>
      <c r="W15" s="4">
        <v>7.2095739430000014E-2</v>
      </c>
      <c r="X15" s="10">
        <f t="shared" si="9"/>
        <v>7.2523769556418094E-2</v>
      </c>
      <c r="Y15" s="1"/>
      <c r="Z15" s="3">
        <v>11074.4</v>
      </c>
      <c r="AA15" s="19">
        <f t="shared" si="10"/>
        <v>348.15</v>
      </c>
      <c r="AB15" s="4">
        <v>6.1658970889999998E-2</v>
      </c>
      <c r="AC15" s="10">
        <f t="shared" si="11"/>
        <v>6.1491421158252513E-2</v>
      </c>
      <c r="AD15" s="1"/>
      <c r="AE15" s="3">
        <v>17307.2</v>
      </c>
      <c r="AF15" s="19">
        <f t="shared" si="12"/>
        <v>373.15</v>
      </c>
      <c r="AG15" s="4">
        <v>5.0084517999999995E-2</v>
      </c>
      <c r="AH15" s="10">
        <f t="shared" si="13"/>
        <v>5.0196716604574032E-2</v>
      </c>
      <c r="AI15" s="1"/>
      <c r="AJ15" s="3">
        <v>22337.3</v>
      </c>
      <c r="AK15" s="19">
        <f t="shared" si="14"/>
        <v>398.15</v>
      </c>
      <c r="AL15" s="4">
        <v>3.8640029593000003E-2</v>
      </c>
      <c r="AM15" s="10">
        <f t="shared" si="15"/>
        <v>3.8821881735544843E-2</v>
      </c>
      <c r="AN15" s="1"/>
      <c r="AO15" s="3">
        <v>27047.9</v>
      </c>
      <c r="AP15" s="19">
        <f t="shared" si="16"/>
        <v>423.15</v>
      </c>
      <c r="AQ15" s="4">
        <v>2.9813491509999998E-2</v>
      </c>
      <c r="AR15" s="10">
        <f t="shared" si="17"/>
        <v>2.9773659257659155E-2</v>
      </c>
      <c r="AS15" s="1"/>
      <c r="AT15" s="3">
        <v>40943.800000000003</v>
      </c>
      <c r="AU15" s="19">
        <f t="shared" si="18"/>
        <v>448.15</v>
      </c>
      <c r="AV15" s="4">
        <v>2.8290666899000002E-2</v>
      </c>
      <c r="AW15" s="10">
        <f t="shared" si="19"/>
        <v>2.6182286354099218E-2</v>
      </c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>
        <v>2722.09</v>
      </c>
      <c r="L16" s="19">
        <f t="shared" si="5"/>
        <v>273.14999999999998</v>
      </c>
      <c r="M16" s="4">
        <v>0.12983993187000001</v>
      </c>
      <c r="N16" s="10">
        <f t="shared" si="1"/>
        <v>0.13079422086003387</v>
      </c>
      <c r="O16" s="1"/>
      <c r="P16" s="3">
        <v>401.678</v>
      </c>
      <c r="Q16" s="19">
        <f t="shared" si="6"/>
        <v>298.14999999999998</v>
      </c>
      <c r="R16" s="4">
        <v>3.8208105639000005E-2</v>
      </c>
      <c r="S16" s="10">
        <f t="shared" si="7"/>
        <v>4.1200173012238675E-2</v>
      </c>
      <c r="T16" s="1"/>
      <c r="U16" s="3">
        <v>9748.09</v>
      </c>
      <c r="V16" s="19">
        <f t="shared" si="8"/>
        <v>323.14999999999998</v>
      </c>
      <c r="W16" s="4">
        <v>8.7111852520000005E-2</v>
      </c>
      <c r="X16" s="10">
        <f t="shared" si="9"/>
        <v>8.6824199909898356E-2</v>
      </c>
      <c r="Y16" s="1"/>
      <c r="Z16" s="3">
        <v>16237.8</v>
      </c>
      <c r="AA16" s="19">
        <f t="shared" si="10"/>
        <v>348.15</v>
      </c>
      <c r="AB16" s="4">
        <v>7.3239585320000009E-2</v>
      </c>
      <c r="AC16" s="10">
        <f t="shared" si="11"/>
        <v>7.1199973594385846E-2</v>
      </c>
      <c r="AD16" s="1"/>
      <c r="AE16" s="3">
        <v>23808.5</v>
      </c>
      <c r="AF16" s="19">
        <f t="shared" si="12"/>
        <v>373.15</v>
      </c>
      <c r="AG16" s="4">
        <v>5.9497150570000004E-2</v>
      </c>
      <c r="AH16" s="10">
        <f t="shared" si="13"/>
        <v>5.7311241853258511E-2</v>
      </c>
      <c r="AI16" s="1"/>
      <c r="AJ16" s="3">
        <v>31723.8</v>
      </c>
      <c r="AK16" s="19">
        <f t="shared" si="14"/>
        <v>398.15</v>
      </c>
      <c r="AL16" s="4">
        <v>4.6699191879999997E-2</v>
      </c>
      <c r="AM16" s="10">
        <f t="shared" si="15"/>
        <v>4.547235019176657E-2</v>
      </c>
      <c r="AN16" s="1"/>
      <c r="AO16" s="3">
        <v>36040.199999999997</v>
      </c>
      <c r="AP16" s="19">
        <f t="shared" si="16"/>
        <v>423.15</v>
      </c>
      <c r="AQ16" s="4">
        <v>3.8612346674E-2</v>
      </c>
      <c r="AR16" s="10">
        <f t="shared" si="17"/>
        <v>3.4245195183446965E-2</v>
      </c>
      <c r="AS16" s="1"/>
      <c r="AT16" s="3">
        <v>52843.5</v>
      </c>
      <c r="AU16" s="19">
        <f t="shared" si="18"/>
        <v>448.15</v>
      </c>
      <c r="AV16" s="4">
        <v>3.0302365697999999E-2</v>
      </c>
      <c r="AW16" s="10">
        <f t="shared" si="19"/>
        <v>2.9795220122727346E-2</v>
      </c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>
        <v>6237.55</v>
      </c>
      <c r="L17" s="19">
        <f t="shared" si="5"/>
        <v>273.14999999999998</v>
      </c>
      <c r="M17" s="4">
        <v>0.15953987500000003</v>
      </c>
      <c r="N17" s="10">
        <f t="shared" si="1"/>
        <v>0.16135910063075129</v>
      </c>
      <c r="O17" s="1"/>
      <c r="P17" s="3">
        <v>414.69499999999999</v>
      </c>
      <c r="Q17" s="19">
        <f t="shared" si="6"/>
        <v>298.14999999999998</v>
      </c>
      <c r="R17" s="4">
        <v>4.0938768133999999E-2</v>
      </c>
      <c r="S17" s="10">
        <f t="shared" si="7"/>
        <v>4.1764362667802271E-2</v>
      </c>
      <c r="T17" s="1"/>
      <c r="U17" s="3">
        <v>15234.4</v>
      </c>
      <c r="V17" s="19">
        <f t="shared" si="8"/>
        <v>323.14999999999998</v>
      </c>
      <c r="W17" s="4">
        <v>0.10346325935</v>
      </c>
      <c r="X17" s="10">
        <f t="shared" si="9"/>
        <v>0.10062175002218088</v>
      </c>
      <c r="Y17" s="1"/>
      <c r="Z17" s="3">
        <v>23808.5</v>
      </c>
      <c r="AA17" s="19">
        <f t="shared" si="10"/>
        <v>348.15</v>
      </c>
      <c r="AB17" s="4">
        <v>8.5505891130000011E-2</v>
      </c>
      <c r="AC17" s="10">
        <f t="shared" si="11"/>
        <v>8.1843151609130332E-2</v>
      </c>
      <c r="AD17" s="1"/>
      <c r="AE17" s="3">
        <v>32751.8</v>
      </c>
      <c r="AF17" s="19">
        <f t="shared" si="12"/>
        <v>373.15</v>
      </c>
      <c r="AG17" s="4">
        <v>6.8279105510000007E-2</v>
      </c>
      <c r="AH17" s="10">
        <f t="shared" si="13"/>
        <v>6.5087410069628746E-2</v>
      </c>
      <c r="AI17" s="1"/>
      <c r="AJ17" s="3">
        <v>40943.800000000003</v>
      </c>
      <c r="AK17" s="19">
        <f t="shared" si="14"/>
        <v>398.15</v>
      </c>
      <c r="AL17" s="4">
        <v>5.359747602E-2</v>
      </c>
      <c r="AM17" s="10">
        <f t="shared" si="15"/>
        <v>5.0800738021072919E-2</v>
      </c>
      <c r="AN17" s="1"/>
      <c r="AO17" s="3">
        <v>48022</v>
      </c>
      <c r="AP17" s="19">
        <f t="shared" si="16"/>
        <v>423.15</v>
      </c>
      <c r="AQ17" s="4">
        <v>4.2809411678000002E-2</v>
      </c>
      <c r="AR17" s="10">
        <f t="shared" si="17"/>
        <v>3.9208353838946323E-2</v>
      </c>
      <c r="AS17" s="1"/>
      <c r="AT17" s="3">
        <v>70411.8</v>
      </c>
      <c r="AU17" s="19">
        <f t="shared" si="18"/>
        <v>448.15</v>
      </c>
      <c r="AV17" s="4">
        <v>3.6626042221999999E-2</v>
      </c>
      <c r="AW17" s="10">
        <f t="shared" si="19"/>
        <v>3.430834744604655E-2</v>
      </c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>
        <v>15234.4</v>
      </c>
      <c r="L18" s="19">
        <f t="shared" si="5"/>
        <v>273.14999999999998</v>
      </c>
      <c r="M18" s="4">
        <v>0.18611723768000002</v>
      </c>
      <c r="N18" s="10">
        <f t="shared" si="1"/>
        <v>0.19684645031976206</v>
      </c>
      <c r="O18" s="1"/>
      <c r="P18" s="3">
        <v>669.09</v>
      </c>
      <c r="Q18" s="19">
        <f t="shared" si="6"/>
        <v>298.14999999999998</v>
      </c>
      <c r="R18" s="4">
        <v>5.032965927E-2</v>
      </c>
      <c r="S18" s="10">
        <f t="shared" si="7"/>
        <v>5.0908439429170553E-2</v>
      </c>
      <c r="T18" s="1"/>
      <c r="U18" s="3">
        <v>23808.5</v>
      </c>
      <c r="V18" s="19">
        <f t="shared" si="8"/>
        <v>323.14999999999998</v>
      </c>
      <c r="W18" s="4">
        <v>0.12078026752000001</v>
      </c>
      <c r="X18" s="10">
        <f t="shared" si="9"/>
        <v>0.11556438431207371</v>
      </c>
      <c r="Y18" s="1"/>
      <c r="Z18" s="3">
        <v>34908.9</v>
      </c>
      <c r="AA18" s="19">
        <f t="shared" si="10"/>
        <v>348.15</v>
      </c>
      <c r="AB18" s="4">
        <v>9.8117683290000007E-2</v>
      </c>
      <c r="AC18" s="10">
        <f t="shared" si="11"/>
        <v>9.3409656229534552E-2</v>
      </c>
      <c r="AD18" s="1"/>
      <c r="AE18" s="3">
        <v>46514.7</v>
      </c>
      <c r="AF18" s="19">
        <f t="shared" si="12"/>
        <v>373.15</v>
      </c>
      <c r="AG18" s="4">
        <v>8.1107431790000004E-2</v>
      </c>
      <c r="AH18" s="10">
        <f t="shared" si="13"/>
        <v>7.4414017951192693E-2</v>
      </c>
      <c r="AI18" s="1"/>
      <c r="AJ18" s="3">
        <v>52843.5</v>
      </c>
      <c r="AK18" s="19">
        <f t="shared" si="14"/>
        <v>398.15</v>
      </c>
      <c r="AL18" s="4">
        <v>6.2585842550000007E-2</v>
      </c>
      <c r="AM18" s="10">
        <f t="shared" si="15"/>
        <v>5.655524828672974E-2</v>
      </c>
      <c r="AN18" s="1"/>
      <c r="AO18" s="3">
        <v>63987.4</v>
      </c>
      <c r="AP18" s="19">
        <f t="shared" si="16"/>
        <v>423.15</v>
      </c>
      <c r="AQ18" s="4">
        <v>4.746278273E-2</v>
      </c>
      <c r="AR18" s="10">
        <f t="shared" si="17"/>
        <v>4.468658170910364E-2</v>
      </c>
      <c r="AS18" s="1"/>
      <c r="AT18" s="3">
        <v>90875.9</v>
      </c>
      <c r="AU18" s="19">
        <f t="shared" si="18"/>
        <v>448.15</v>
      </c>
      <c r="AV18" s="4">
        <v>4.2768437437000005E-2</v>
      </c>
      <c r="AW18" s="10">
        <f t="shared" si="19"/>
        <v>3.8739767452350922E-2</v>
      </c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>
        <v>27924.400000000001</v>
      </c>
      <c r="L19" s="19">
        <f t="shared" si="5"/>
        <v>273.14999999999998</v>
      </c>
      <c r="M19" s="4">
        <v>0.19924703931000001</v>
      </c>
      <c r="N19" s="10">
        <f t="shared" si="1"/>
        <v>0.22195133450372195</v>
      </c>
      <c r="O19" s="1"/>
      <c r="P19" s="3">
        <v>836.44600000000003</v>
      </c>
      <c r="Q19" s="19">
        <f t="shared" si="6"/>
        <v>298.14999999999998</v>
      </c>
      <c r="R19" s="4">
        <v>5.0312494980000004E-2</v>
      </c>
      <c r="S19" s="10">
        <f t="shared" si="7"/>
        <v>5.5622685893788403E-2</v>
      </c>
      <c r="T19" s="1"/>
      <c r="U19" s="3">
        <v>37208.1</v>
      </c>
      <c r="V19" s="19">
        <f t="shared" si="8"/>
        <v>323.14999999999998</v>
      </c>
      <c r="W19" s="4">
        <v>0.13858139669000002</v>
      </c>
      <c r="X19" s="10">
        <f t="shared" si="9"/>
        <v>0.13157467782854343</v>
      </c>
      <c r="Y19" s="1"/>
      <c r="Z19" s="3">
        <v>49578.2</v>
      </c>
      <c r="AA19" s="19">
        <f t="shared" si="10"/>
        <v>348.15</v>
      </c>
      <c r="AB19" s="4">
        <v>0.1145562319</v>
      </c>
      <c r="AC19" s="10">
        <f t="shared" si="11"/>
        <v>0.10480109050588722</v>
      </c>
      <c r="AD19" s="1"/>
      <c r="AE19" s="3">
        <v>61978.9</v>
      </c>
      <c r="AF19" s="19">
        <f t="shared" si="12"/>
        <v>373.15</v>
      </c>
      <c r="AG19" s="4">
        <v>9.1489626690000006E-2</v>
      </c>
      <c r="AH19" s="10">
        <f t="shared" si="13"/>
        <v>8.2646628377683787E-2</v>
      </c>
      <c r="AI19" s="1"/>
      <c r="AJ19" s="3">
        <v>75049.2</v>
      </c>
      <c r="AK19" s="19">
        <f t="shared" si="14"/>
        <v>398.15</v>
      </c>
      <c r="AL19" s="4">
        <v>7.059100334E-2</v>
      </c>
      <c r="AM19" s="10">
        <f t="shared" si="15"/>
        <v>6.5177114784478699E-2</v>
      </c>
      <c r="AN19" s="1"/>
      <c r="AO19" s="3">
        <v>82584.3</v>
      </c>
      <c r="AP19" s="19">
        <f t="shared" si="16"/>
        <v>423.15</v>
      </c>
      <c r="AQ19" s="4">
        <v>5.3541141940000002E-2</v>
      </c>
      <c r="AR19" s="10">
        <f t="shared" si="17"/>
        <v>5.0004639552039723E-2</v>
      </c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1266.17</v>
      </c>
      <c r="Q20" s="19">
        <f t="shared" si="6"/>
        <v>298.14999999999998</v>
      </c>
      <c r="R20" s="4">
        <v>5.7730989140000001E-2</v>
      </c>
      <c r="S20" s="10">
        <f t="shared" si="7"/>
        <v>6.5150049822549516E-2</v>
      </c>
      <c r="T20" s="1"/>
      <c r="U20" s="3">
        <v>56323.9</v>
      </c>
      <c r="V20" s="19">
        <f t="shared" si="8"/>
        <v>323.14999999999998</v>
      </c>
      <c r="W20" s="4">
        <v>0.14840025078999999</v>
      </c>
      <c r="X20" s="10">
        <f t="shared" si="9"/>
        <v>0.14731060632978682</v>
      </c>
      <c r="Y20" s="1"/>
      <c r="Z20" s="3">
        <v>66060.899999999994</v>
      </c>
      <c r="AA20" s="19">
        <f t="shared" si="10"/>
        <v>348.15</v>
      </c>
      <c r="AB20" s="4">
        <v>0.12269606635000001</v>
      </c>
      <c r="AC20" s="10">
        <f t="shared" si="11"/>
        <v>0.11466032679540841</v>
      </c>
      <c r="AD20" s="1"/>
      <c r="AE20" s="3">
        <v>82584.3</v>
      </c>
      <c r="AF20" s="19">
        <f t="shared" si="12"/>
        <v>373.15</v>
      </c>
      <c r="AG20" s="4">
        <v>9.6313232290000009E-2</v>
      </c>
      <c r="AH20" s="10">
        <f t="shared" si="13"/>
        <v>9.1414646087599929E-2</v>
      </c>
      <c r="AI20" s="1"/>
      <c r="AJ20" s="3">
        <v>90875.9</v>
      </c>
      <c r="AK20" s="19">
        <f t="shared" si="14"/>
        <v>398.15</v>
      </c>
      <c r="AL20" s="4">
        <v>7.6934748880000015E-2</v>
      </c>
      <c r="AM20" s="10">
        <f t="shared" si="15"/>
        <v>7.0229821987395094E-2</v>
      </c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2553.89</v>
      </c>
      <c r="Q21" s="19">
        <f t="shared" si="6"/>
        <v>298.14999999999998</v>
      </c>
      <c r="R21" s="4">
        <v>8.006657164E-2</v>
      </c>
      <c r="S21" s="10">
        <f t="shared" si="7"/>
        <v>8.3580403200903874E-2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x14ac:dyDescent="0.25">
      <c r="A22" s="3"/>
      <c r="B22" s="1"/>
      <c r="C22" s="4"/>
      <c r="D22" s="10"/>
      <c r="E22" s="1"/>
      <c r="F22" s="3"/>
      <c r="G22" s="19"/>
      <c r="H22" s="4"/>
      <c r="I22" s="10"/>
      <c r="J22" s="1"/>
      <c r="K22" s="3"/>
      <c r="L22" s="19"/>
      <c r="M22" s="4"/>
      <c r="N22" s="10"/>
      <c r="O22" s="1"/>
      <c r="P22" s="3">
        <v>4120.58</v>
      </c>
      <c r="Q22" s="19">
        <f t="shared" si="6"/>
        <v>298.14999999999998</v>
      </c>
      <c r="R22" s="4">
        <v>0.10014703050000001</v>
      </c>
      <c r="S22" s="10">
        <f t="shared" si="7"/>
        <v>9.77855483032187E-2</v>
      </c>
      <c r="T22" s="1"/>
      <c r="U22" s="3"/>
      <c r="V22" s="15"/>
      <c r="W22" s="4"/>
      <c r="X22" s="10"/>
      <c r="Y22" s="1"/>
      <c r="Z22" s="3"/>
      <c r="AA22" s="15"/>
      <c r="AB22" s="4"/>
      <c r="AC22" s="10"/>
      <c r="AD22" s="1"/>
      <c r="AE22" s="3"/>
      <c r="AF22" s="15"/>
      <c r="AG22" s="4"/>
      <c r="AH22" s="10"/>
      <c r="AI22" s="1"/>
      <c r="AJ22" s="3"/>
      <c r="AK22" s="15"/>
      <c r="AL22" s="4"/>
      <c r="AM22" s="10"/>
      <c r="AN22" s="1"/>
      <c r="AO22" s="3"/>
      <c r="AP22" s="15"/>
      <c r="AQ22" s="4"/>
      <c r="AR22" s="10"/>
      <c r="AS22" s="1"/>
      <c r="AT22" s="3"/>
      <c r="AU22" s="15"/>
      <c r="AV22" s="4"/>
      <c r="AW22" s="10"/>
    </row>
    <row r="23" spans="1:49" x14ac:dyDescent="0.25">
      <c r="A23" s="3"/>
      <c r="B23" s="1"/>
      <c r="C23" s="4"/>
      <c r="D23" s="10"/>
      <c r="E23" s="1"/>
      <c r="F23" s="3"/>
      <c r="G23" s="19"/>
      <c r="H23" s="4"/>
      <c r="I23" s="10"/>
      <c r="J23" s="1"/>
      <c r="K23" s="3"/>
      <c r="L23" s="19"/>
      <c r="M23" s="4"/>
      <c r="N23" s="10"/>
      <c r="O23" s="1"/>
      <c r="P23" s="3">
        <v>4254.1099999999997</v>
      </c>
      <c r="Q23" s="19">
        <f t="shared" si="6"/>
        <v>298.14999999999998</v>
      </c>
      <c r="R23" s="4">
        <v>9.1858438870000003E-2</v>
      </c>
      <c r="S23" s="10">
        <f t="shared" si="7"/>
        <v>9.8778479578087997E-2</v>
      </c>
      <c r="T23" s="1"/>
      <c r="U23" s="3"/>
      <c r="V23" s="15"/>
      <c r="W23" s="4"/>
      <c r="X23" s="10"/>
      <c r="Y23" s="1"/>
      <c r="Z23" s="3"/>
      <c r="AA23" s="15"/>
      <c r="AB23" s="4"/>
      <c r="AC23" s="10"/>
      <c r="AD23" s="1"/>
      <c r="AE23" s="3"/>
      <c r="AF23" s="15"/>
      <c r="AG23" s="4"/>
      <c r="AH23" s="10"/>
      <c r="AI23" s="1"/>
      <c r="AJ23" s="3"/>
      <c r="AK23" s="15"/>
      <c r="AL23" s="4"/>
      <c r="AM23" s="10"/>
      <c r="AN23" s="1"/>
      <c r="AO23" s="3"/>
      <c r="AP23" s="15"/>
      <c r="AQ23" s="4"/>
      <c r="AR23" s="10"/>
      <c r="AS23" s="1"/>
      <c r="AT23" s="3"/>
      <c r="AU23" s="15"/>
      <c r="AV23" s="4"/>
      <c r="AW23" s="10"/>
    </row>
    <row r="24" spans="1:49" x14ac:dyDescent="0.25">
      <c r="A24" s="3"/>
      <c r="B24" s="1"/>
      <c r="C24" s="4"/>
      <c r="D24" s="10"/>
      <c r="E24" s="1"/>
      <c r="F24" s="3"/>
      <c r="G24" s="19"/>
      <c r="H24" s="4"/>
      <c r="I24" s="10"/>
      <c r="J24" s="1"/>
      <c r="K24" s="3"/>
      <c r="L24" s="19"/>
      <c r="M24" s="4"/>
      <c r="N24" s="10"/>
      <c r="O24" s="1"/>
      <c r="P24" s="3">
        <v>7797.7</v>
      </c>
      <c r="Q24" s="19">
        <f t="shared" si="6"/>
        <v>298.14999999999998</v>
      </c>
      <c r="R24" s="4">
        <v>0.11687561160000001</v>
      </c>
      <c r="S24" s="10">
        <f t="shared" si="7"/>
        <v>0.1186865920384118</v>
      </c>
      <c r="T24" s="1"/>
      <c r="U24" s="3"/>
      <c r="V24" s="15"/>
      <c r="W24" s="4"/>
      <c r="X24" s="10"/>
      <c r="Y24" s="1"/>
      <c r="Z24" s="3"/>
      <c r="AA24" s="15"/>
      <c r="AB24" s="4"/>
      <c r="AC24" s="10"/>
      <c r="AD24" s="1"/>
      <c r="AE24" s="3"/>
      <c r="AF24" s="15"/>
      <c r="AG24" s="4"/>
      <c r="AH24" s="10"/>
      <c r="AI24" s="1"/>
      <c r="AJ24" s="3"/>
      <c r="AK24" s="15"/>
      <c r="AL24" s="4"/>
      <c r="AM24" s="10"/>
      <c r="AN24" s="1"/>
      <c r="AO24" s="3"/>
      <c r="AP24" s="15"/>
      <c r="AQ24" s="4"/>
      <c r="AR24" s="10"/>
      <c r="AS24" s="1"/>
      <c r="AT24" s="3"/>
      <c r="AU24" s="15"/>
      <c r="AV24" s="4"/>
      <c r="AW24" s="10"/>
    </row>
    <row r="25" spans="1:49" x14ac:dyDescent="0.25">
      <c r="A25" s="3"/>
      <c r="B25" s="1"/>
      <c r="C25" s="4"/>
      <c r="D25" s="10"/>
      <c r="E25" s="1"/>
      <c r="F25" s="3"/>
      <c r="G25" s="19"/>
      <c r="H25" s="4"/>
      <c r="I25" s="10"/>
      <c r="J25" s="1"/>
      <c r="K25" s="3"/>
      <c r="L25" s="19"/>
      <c r="M25" s="4"/>
      <c r="N25" s="10"/>
      <c r="O25" s="1"/>
      <c r="P25" s="3">
        <v>9145.74</v>
      </c>
      <c r="Q25" s="19">
        <f t="shared" si="6"/>
        <v>298.14999999999998</v>
      </c>
      <c r="R25" s="4">
        <v>0.11888295331000003</v>
      </c>
      <c r="S25" s="10">
        <f t="shared" si="7"/>
        <v>0.12424094787079998</v>
      </c>
      <c r="T25" s="1"/>
      <c r="U25" s="3"/>
      <c r="V25" s="15"/>
      <c r="W25" s="4"/>
      <c r="X25" s="10"/>
      <c r="Y25" s="1"/>
      <c r="Z25" s="3"/>
      <c r="AA25" s="15"/>
      <c r="AB25" s="4"/>
      <c r="AC25" s="10"/>
      <c r="AD25" s="1"/>
      <c r="AE25" s="3"/>
      <c r="AF25" s="15"/>
      <c r="AG25" s="4"/>
      <c r="AH25" s="10"/>
      <c r="AI25" s="1"/>
      <c r="AJ25" s="3"/>
      <c r="AK25" s="15"/>
      <c r="AL25" s="4"/>
      <c r="AM25" s="10"/>
      <c r="AN25" s="1"/>
      <c r="AO25" s="3"/>
      <c r="AP25" s="15"/>
      <c r="AQ25" s="4"/>
      <c r="AR25" s="10"/>
      <c r="AS25" s="1"/>
      <c r="AT25" s="3"/>
      <c r="AU25" s="15"/>
      <c r="AV25" s="4"/>
      <c r="AW25" s="10"/>
    </row>
    <row r="26" spans="1:49" x14ac:dyDescent="0.25">
      <c r="A26" s="3"/>
      <c r="B26" s="1"/>
      <c r="C26" s="4"/>
      <c r="D26" s="10"/>
      <c r="E26" s="1"/>
      <c r="F26" s="3"/>
      <c r="G26" s="19"/>
      <c r="H26" s="4"/>
      <c r="I26" s="10"/>
      <c r="J26" s="1"/>
      <c r="K26" s="3"/>
      <c r="L26" s="19"/>
      <c r="M26" s="4"/>
      <c r="N26" s="10"/>
      <c r="O26" s="1"/>
      <c r="P26" s="3">
        <v>14756.2</v>
      </c>
      <c r="Q26" s="19">
        <f t="shared" si="6"/>
        <v>298.14999999999998</v>
      </c>
      <c r="R26" s="4">
        <v>0.14119124898999999</v>
      </c>
      <c r="S26" s="10">
        <f t="shared" si="7"/>
        <v>0.14162804801102621</v>
      </c>
      <c r="T26" s="1"/>
      <c r="U26" s="3"/>
      <c r="V26" s="15"/>
      <c r="W26" s="4"/>
      <c r="X26" s="10"/>
      <c r="Y26" s="1"/>
      <c r="Z26" s="3"/>
      <c r="AA26" s="15"/>
      <c r="AB26" s="4"/>
      <c r="AC26" s="10"/>
      <c r="AD26" s="1"/>
      <c r="AE26" s="3"/>
      <c r="AF26" s="15"/>
      <c r="AG26" s="4"/>
      <c r="AH26" s="10"/>
      <c r="AI26" s="1"/>
      <c r="AJ26" s="3"/>
      <c r="AK26" s="15"/>
      <c r="AL26" s="4"/>
      <c r="AM26" s="10"/>
      <c r="AN26" s="1"/>
      <c r="AO26" s="3"/>
      <c r="AP26" s="15"/>
      <c r="AQ26" s="4"/>
      <c r="AR26" s="10"/>
      <c r="AS26" s="1"/>
      <c r="AT26" s="3"/>
      <c r="AU26" s="15"/>
      <c r="AV26" s="4"/>
      <c r="AW26" s="10"/>
    </row>
    <row r="27" spans="1:49" x14ac:dyDescent="0.25">
      <c r="A27" s="3"/>
      <c r="B27" s="1"/>
      <c r="C27" s="4"/>
      <c r="D27" s="10"/>
      <c r="E27" s="1"/>
      <c r="F27" s="3"/>
      <c r="G27" s="19"/>
      <c r="H27" s="4"/>
      <c r="I27" s="10"/>
      <c r="J27" s="1"/>
      <c r="K27" s="3"/>
      <c r="L27" s="19"/>
      <c r="M27" s="4"/>
      <c r="N27" s="10"/>
      <c r="O27" s="1"/>
      <c r="P27" s="3">
        <v>16237.8</v>
      </c>
      <c r="Q27" s="19">
        <f t="shared" si="6"/>
        <v>298.14999999999998</v>
      </c>
      <c r="R27" s="4">
        <v>0.14117100393000001</v>
      </c>
      <c r="S27" s="10">
        <f t="shared" si="7"/>
        <v>0.14522806451145431</v>
      </c>
      <c r="T27" s="1"/>
      <c r="U27" s="3"/>
      <c r="V27" s="15"/>
      <c r="W27" s="4"/>
      <c r="X27" s="10"/>
      <c r="Y27" s="1"/>
      <c r="Z27" s="3"/>
      <c r="AA27" s="15"/>
      <c r="AB27" s="4"/>
      <c r="AC27" s="10"/>
      <c r="AD27" s="1"/>
      <c r="AE27" s="3"/>
      <c r="AF27" s="15"/>
      <c r="AG27" s="4"/>
      <c r="AH27" s="10"/>
      <c r="AI27" s="1"/>
      <c r="AJ27" s="3"/>
      <c r="AK27" s="15"/>
      <c r="AL27" s="4"/>
      <c r="AM27" s="10"/>
      <c r="AN27" s="1"/>
      <c r="AO27" s="3"/>
      <c r="AP27" s="15"/>
      <c r="AQ27" s="4"/>
      <c r="AR27" s="10"/>
      <c r="AS27" s="1"/>
      <c r="AT27" s="3"/>
      <c r="AU27" s="15"/>
      <c r="AV27" s="4"/>
      <c r="AW27" s="10"/>
    </row>
    <row r="28" spans="1:49" x14ac:dyDescent="0.25">
      <c r="A28" s="3"/>
      <c r="B28" s="1"/>
      <c r="C28" s="4"/>
      <c r="D28" s="10"/>
      <c r="E28" s="1"/>
      <c r="F28" s="3"/>
      <c r="G28" s="19"/>
      <c r="H28" s="4"/>
      <c r="I28" s="10"/>
      <c r="J28" s="1"/>
      <c r="K28" s="3"/>
      <c r="L28" s="19"/>
      <c r="M28" s="4"/>
      <c r="N28" s="10"/>
      <c r="O28" s="1"/>
      <c r="P28" s="3">
        <v>25376.5</v>
      </c>
      <c r="Q28" s="19">
        <f t="shared" si="6"/>
        <v>298.14999999999998</v>
      </c>
      <c r="R28" s="4">
        <v>0.16197764429</v>
      </c>
      <c r="S28" s="10">
        <f t="shared" si="7"/>
        <v>0.16251397644702303</v>
      </c>
      <c r="T28" s="1"/>
      <c r="U28" s="3"/>
      <c r="V28" s="15"/>
      <c r="W28" s="4"/>
      <c r="X28" s="10"/>
      <c r="Y28" s="1"/>
      <c r="Z28" s="3"/>
      <c r="AA28" s="15"/>
      <c r="AB28" s="4"/>
      <c r="AC28" s="10"/>
      <c r="AD28" s="1"/>
      <c r="AE28" s="3"/>
      <c r="AF28" s="15"/>
      <c r="AG28" s="4"/>
      <c r="AH28" s="10"/>
      <c r="AI28" s="1"/>
      <c r="AJ28" s="3"/>
      <c r="AK28" s="15"/>
      <c r="AL28" s="4"/>
      <c r="AM28" s="10"/>
      <c r="AN28" s="1"/>
      <c r="AO28" s="3"/>
      <c r="AP28" s="15"/>
      <c r="AQ28" s="4"/>
      <c r="AR28" s="10"/>
      <c r="AS28" s="1"/>
      <c r="AT28" s="3"/>
      <c r="AU28" s="15"/>
      <c r="AV28" s="4"/>
      <c r="AW28" s="10"/>
    </row>
    <row r="29" spans="1:49" x14ac:dyDescent="0.25">
      <c r="A29" s="3"/>
      <c r="B29" s="1"/>
      <c r="C29" s="4"/>
      <c r="D29" s="10"/>
      <c r="E29" s="1"/>
      <c r="F29" s="3"/>
      <c r="G29" s="19"/>
      <c r="H29" s="4"/>
      <c r="I29" s="10"/>
      <c r="J29" s="1"/>
      <c r="K29" s="3"/>
      <c r="L29" s="19"/>
      <c r="M29" s="4"/>
      <c r="N29" s="10"/>
      <c r="O29" s="1"/>
      <c r="P29" s="3">
        <v>29763.5</v>
      </c>
      <c r="Q29" s="19">
        <f t="shared" si="6"/>
        <v>298.14999999999998</v>
      </c>
      <c r="R29" s="4">
        <v>0.15376255103</v>
      </c>
      <c r="S29" s="10">
        <f t="shared" si="7"/>
        <v>0.16886600420897449</v>
      </c>
      <c r="T29" s="1"/>
      <c r="U29" s="3"/>
      <c r="V29" s="15"/>
      <c r="W29" s="4"/>
      <c r="X29" s="10"/>
      <c r="Y29" s="1"/>
      <c r="Z29" s="3"/>
      <c r="AA29" s="15"/>
      <c r="AB29" s="4"/>
      <c r="AC29" s="10"/>
      <c r="AD29" s="1"/>
      <c r="AE29" s="3"/>
      <c r="AF29" s="15"/>
      <c r="AG29" s="4"/>
      <c r="AH29" s="10"/>
      <c r="AI29" s="1"/>
      <c r="AJ29" s="3"/>
      <c r="AK29" s="15"/>
      <c r="AL29" s="4"/>
      <c r="AM29" s="10"/>
      <c r="AN29" s="1"/>
      <c r="AO29" s="3"/>
      <c r="AP29" s="15"/>
      <c r="AQ29" s="4"/>
      <c r="AR29" s="10"/>
      <c r="AS29" s="1"/>
      <c r="AT29" s="3"/>
      <c r="AU29" s="15"/>
      <c r="AV29" s="4"/>
      <c r="AW29" s="10"/>
    </row>
    <row r="30" spans="1:49" x14ac:dyDescent="0.25">
      <c r="A30" s="3"/>
      <c r="B30" s="1"/>
      <c r="C30" s="4"/>
      <c r="D30" s="10"/>
      <c r="E30" s="1"/>
      <c r="F30" s="3"/>
      <c r="G30" s="19"/>
      <c r="H30" s="4"/>
      <c r="I30" s="10"/>
      <c r="J30" s="1"/>
      <c r="K30" s="3"/>
      <c r="L30" s="19"/>
      <c r="M30" s="4"/>
      <c r="N30" s="10"/>
      <c r="O30" s="1"/>
      <c r="P30" s="3">
        <v>40943.800000000003</v>
      </c>
      <c r="Q30" s="19">
        <f t="shared" si="6"/>
        <v>298.14999999999998</v>
      </c>
      <c r="R30" s="4">
        <v>0.17645858362000005</v>
      </c>
      <c r="S30" s="10">
        <f t="shared" si="7"/>
        <v>0.18181724294884363</v>
      </c>
      <c r="T30" s="1"/>
      <c r="U30" s="3"/>
      <c r="V30" s="15"/>
      <c r="W30" s="4"/>
      <c r="X30" s="10"/>
      <c r="Y30" s="1"/>
      <c r="Z30" s="3"/>
      <c r="AA30" s="15"/>
      <c r="AB30" s="4"/>
      <c r="AC30" s="10"/>
      <c r="AD30" s="1"/>
      <c r="AE30" s="3"/>
      <c r="AF30" s="15"/>
      <c r="AG30" s="4"/>
      <c r="AH30" s="10"/>
      <c r="AI30" s="1"/>
      <c r="AJ30" s="3"/>
      <c r="AK30" s="15"/>
      <c r="AL30" s="4"/>
      <c r="AM30" s="10"/>
      <c r="AN30" s="1"/>
      <c r="AO30" s="3"/>
      <c r="AP30" s="15"/>
      <c r="AQ30" s="4"/>
      <c r="AR30" s="10"/>
      <c r="AS30" s="1"/>
      <c r="AT30" s="3"/>
      <c r="AU30" s="15"/>
      <c r="AV30" s="4"/>
      <c r="AW30" s="10"/>
    </row>
    <row r="31" spans="1:4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9"/>
      <c r="M31" s="4"/>
      <c r="N31" s="10"/>
      <c r="O31" s="1"/>
      <c r="P31" s="3">
        <v>43640.4</v>
      </c>
      <c r="Q31" s="19">
        <f t="shared" si="6"/>
        <v>298.14999999999998</v>
      </c>
      <c r="R31" s="4">
        <v>0.16753359293000003</v>
      </c>
      <c r="S31" s="10">
        <f t="shared" si="7"/>
        <v>0.18444365871113935</v>
      </c>
      <c r="T31" s="1"/>
      <c r="U31" s="3"/>
      <c r="V31" s="15"/>
      <c r="W31" s="4"/>
      <c r="X31" s="10"/>
      <c r="Y31" s="1"/>
      <c r="Z31" s="3"/>
      <c r="AA31" s="15"/>
      <c r="AB31" s="4"/>
      <c r="AC31" s="10"/>
      <c r="AD31" s="1"/>
      <c r="AE31" s="3"/>
      <c r="AF31" s="15"/>
      <c r="AG31" s="4"/>
      <c r="AH31" s="10"/>
      <c r="AI31" s="1"/>
      <c r="AJ31" s="3"/>
      <c r="AK31" s="15"/>
      <c r="AL31" s="4"/>
      <c r="AM31" s="10"/>
      <c r="AN31" s="1"/>
      <c r="AO31" s="3"/>
      <c r="AP31" s="15"/>
      <c r="AQ31" s="4"/>
      <c r="AR31" s="10"/>
      <c r="AS31" s="1"/>
      <c r="AT31" s="3"/>
      <c r="AU31" s="15"/>
      <c r="AV31" s="4"/>
      <c r="AW31" s="10"/>
    </row>
    <row r="32" spans="1:49" x14ac:dyDescent="0.2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9"/>
      <c r="M32" s="4"/>
      <c r="N32" s="10"/>
      <c r="O32" s="1"/>
      <c r="P32" s="3">
        <v>61978.9</v>
      </c>
      <c r="Q32" s="19">
        <f t="shared" si="6"/>
        <v>298.14999999999998</v>
      </c>
      <c r="R32" s="4">
        <v>0.17942096403000002</v>
      </c>
      <c r="S32" s="10">
        <f t="shared" si="7"/>
        <v>0.19907699546199423</v>
      </c>
      <c r="T32" s="1"/>
      <c r="U32" s="3"/>
      <c r="V32" s="15"/>
      <c r="W32" s="4"/>
      <c r="X32" s="10"/>
      <c r="Y32" s="1"/>
      <c r="Z32" s="3"/>
      <c r="AA32" s="15"/>
      <c r="AB32" s="4"/>
      <c r="AC32" s="10"/>
      <c r="AD32" s="1"/>
      <c r="AE32" s="3"/>
      <c r="AF32" s="15"/>
      <c r="AG32" s="4"/>
      <c r="AH32" s="10"/>
      <c r="AI32" s="1"/>
      <c r="AJ32" s="3"/>
      <c r="AK32" s="15"/>
      <c r="AL32" s="4"/>
      <c r="AM32" s="10"/>
      <c r="AN32" s="1"/>
      <c r="AO32" s="3"/>
      <c r="AP32" s="15"/>
      <c r="AQ32" s="4"/>
      <c r="AR32" s="10"/>
      <c r="AS32" s="1"/>
      <c r="AT32" s="3"/>
      <c r="AU32" s="15"/>
      <c r="AV32" s="4"/>
      <c r="AW32" s="10"/>
    </row>
    <row r="33" spans="1:49" x14ac:dyDescent="0.2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9"/>
      <c r="M33" s="4"/>
      <c r="N33" s="10"/>
      <c r="O33" s="1"/>
      <c r="P33" s="3">
        <v>75049.2</v>
      </c>
      <c r="Q33" s="19">
        <f t="shared" si="6"/>
        <v>298.14999999999998</v>
      </c>
      <c r="R33" s="4">
        <v>0.18567272657999997</v>
      </c>
      <c r="S33" s="10">
        <f t="shared" si="7"/>
        <v>0.2071760972094876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5.75" thickBot="1" x14ac:dyDescent="0.3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20"/>
      <c r="M34" s="6"/>
      <c r="N34" s="11"/>
      <c r="O34" s="2"/>
      <c r="P34" s="5">
        <v>93820.800000000003</v>
      </c>
      <c r="Q34" s="20">
        <f t="shared" si="6"/>
        <v>298.14999999999998</v>
      </c>
      <c r="R34" s="6">
        <v>0.19213354137999999</v>
      </c>
      <c r="S34" s="11">
        <f t="shared" si="7"/>
        <v>0.21671084511951688</v>
      </c>
      <c r="T34" s="2"/>
      <c r="U34" s="5"/>
      <c r="V34" s="2"/>
      <c r="W34" s="6"/>
      <c r="X34" s="11"/>
      <c r="Y34" s="2"/>
      <c r="Z34" s="5"/>
      <c r="AA34" s="2"/>
      <c r="AB34" s="6"/>
      <c r="AC34" s="11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5.75" thickBot="1" x14ac:dyDescent="0.3"/>
    <row r="36" spans="1:49" ht="15.75" thickBot="1" x14ac:dyDescent="0.3">
      <c r="A36" s="51" t="s">
        <v>27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3"/>
    </row>
    <row r="37" spans="1:49" x14ac:dyDescent="0.25">
      <c r="A37" s="58" t="s">
        <v>10</v>
      </c>
      <c r="B37" s="57"/>
      <c r="C37" s="57"/>
      <c r="D37" s="59"/>
      <c r="E37" s="67" t="s">
        <v>30</v>
      </c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</row>
    <row r="38" spans="1:49" x14ac:dyDescent="0.25">
      <c r="A38" s="58" t="s">
        <v>12</v>
      </c>
      <c r="B38" s="57"/>
      <c r="C38" s="57"/>
      <c r="D38" s="59"/>
      <c r="E38" s="70" t="s">
        <v>31</v>
      </c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4"/>
    </row>
    <row r="39" spans="1:49" x14ac:dyDescent="0.25">
      <c r="A39" s="58" t="s">
        <v>14</v>
      </c>
      <c r="B39" s="57"/>
      <c r="C39" s="57"/>
      <c r="D39" s="59"/>
      <c r="E39" s="70" t="s">
        <v>15</v>
      </c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4"/>
    </row>
    <row r="40" spans="1:49" x14ac:dyDescent="0.25">
      <c r="A40" s="58" t="s">
        <v>16</v>
      </c>
      <c r="B40" s="57"/>
      <c r="C40" s="57"/>
      <c r="D40" s="59"/>
      <c r="E40" s="70" t="s">
        <v>32</v>
      </c>
      <c r="F40" s="43"/>
      <c r="G40" s="43"/>
      <c r="H40" s="43"/>
      <c r="I40" s="57" t="s">
        <v>24</v>
      </c>
      <c r="J40" s="57"/>
      <c r="K40" s="57"/>
      <c r="L40" s="57"/>
      <c r="M40" s="57"/>
      <c r="N40" s="43">
        <v>1</v>
      </c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4"/>
    </row>
    <row r="41" spans="1:49" x14ac:dyDescent="0.25">
      <c r="A41" s="58" t="s">
        <v>18</v>
      </c>
      <c r="B41" s="57"/>
      <c r="C41" s="57"/>
      <c r="D41" s="59"/>
      <c r="E41" s="70" t="s">
        <v>19</v>
      </c>
      <c r="F41" s="43"/>
      <c r="G41" s="43"/>
      <c r="H41" s="43"/>
      <c r="I41" s="57" t="s">
        <v>25</v>
      </c>
      <c r="J41" s="57"/>
      <c r="K41" s="57"/>
      <c r="L41" s="57"/>
      <c r="M41" s="57"/>
      <c r="N41" s="43">
        <v>1</v>
      </c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4"/>
    </row>
    <row r="42" spans="1:49" ht="15.75" thickBot="1" x14ac:dyDescent="0.3">
      <c r="A42" s="63" t="s">
        <v>20</v>
      </c>
      <c r="B42" s="64"/>
      <c r="C42" s="64"/>
      <c r="D42" s="65"/>
      <c r="E42" s="66" t="s">
        <v>21</v>
      </c>
      <c r="F42" s="35"/>
      <c r="G42" s="35"/>
      <c r="H42" s="35"/>
      <c r="I42" s="64" t="s">
        <v>26</v>
      </c>
      <c r="J42" s="64"/>
      <c r="K42" s="64"/>
      <c r="L42" s="64"/>
      <c r="M42" s="64"/>
      <c r="N42" s="35">
        <v>1</v>
      </c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6"/>
    </row>
  </sheetData>
  <mergeCells count="30"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  <mergeCell ref="A36:AW36"/>
    <mergeCell ref="A37:D37"/>
    <mergeCell ref="E37:AW37"/>
    <mergeCell ref="A38:D38"/>
    <mergeCell ref="E38:AW38"/>
    <mergeCell ref="A39:D39"/>
    <mergeCell ref="E39:AW39"/>
    <mergeCell ref="A40:D40"/>
    <mergeCell ref="E40:H40"/>
    <mergeCell ref="I40:M40"/>
    <mergeCell ref="N40:AW40"/>
    <mergeCell ref="A41:D41"/>
    <mergeCell ref="E41:H41"/>
    <mergeCell ref="I41:M41"/>
    <mergeCell ref="N41:AW41"/>
    <mergeCell ref="A42:D42"/>
    <mergeCell ref="E42:H42"/>
    <mergeCell ref="I42:M42"/>
    <mergeCell ref="N42:AW4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Functionality</vt:lpstr>
      <vt:lpstr>Dubinin | Carb &amp; R134-a</vt:lpstr>
      <vt:lpstr>DSS</vt:lpstr>
      <vt:lpstr>Langmuir | Carb &amp; CO2</vt:lpstr>
      <vt:lpstr>Langmuir | Carb &amp;CH4</vt:lpstr>
      <vt:lpstr>Toth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2020-03-03T17:29:18Z</dcterms:modified>
</cp:coreProperties>
</file>